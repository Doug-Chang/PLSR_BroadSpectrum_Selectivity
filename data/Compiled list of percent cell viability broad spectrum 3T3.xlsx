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prod-my.sharepoint.com/personal/dhchang2_wisc_edu/Documents/Broad Spectrum data/Compiled lists/"/>
    </mc:Choice>
  </mc:AlternateContent>
  <xr:revisionPtr revIDLastSave="116" documentId="8_{A17127EB-0451-4C16-99C9-E66EAA391D7C}" xr6:coauthVersionLast="47" xr6:coauthVersionMax="47" xr10:uidLastSave="{994CA900-16D0-4F65-BEA3-F2AE24F4A32F}"/>
  <bookViews>
    <workbookView xWindow="-120" yWindow="-120" windowWidth="29040" windowHeight="15720" tabRatio="771" activeTab="27" xr2:uid="{22B6B580-6D42-42C5-9DD5-B887C3FBB138}"/>
  </bookViews>
  <sheets>
    <sheet name="1" sheetId="1" r:id="rId1"/>
    <sheet name="12" sheetId="2" r:id="rId2"/>
    <sheet name="13" sheetId="3" r:id="rId3"/>
    <sheet name="14" sheetId="4" r:id="rId4"/>
    <sheet name="26" sheetId="5" r:id="rId5"/>
    <sheet name="29" sheetId="6" r:id="rId6"/>
    <sheet name="29g1PK6" sheetId="7" r:id="rId7"/>
    <sheet name="32" sheetId="8" r:id="rId8"/>
    <sheet name="35" sheetId="9" r:id="rId9"/>
    <sheet name="38" sheetId="10" r:id="rId10"/>
    <sheet name="52" sheetId="11" r:id="rId11"/>
    <sheet name="53" sheetId="12" r:id="rId12"/>
    <sheet name="54" sheetId="13" r:id="rId13"/>
    <sheet name="55" sheetId="14" r:id="rId14"/>
    <sheet name="56" sheetId="15" r:id="rId15"/>
    <sheet name="57" sheetId="16" r:id="rId16"/>
    <sheet name="58" sheetId="17" r:id="rId17"/>
    <sheet name="59" sheetId="18" r:id="rId18"/>
    <sheet name="61" sheetId="19" r:id="rId19"/>
    <sheet name="228" sheetId="20" r:id="rId20"/>
    <sheet name="231" sheetId="21" r:id="rId21"/>
    <sheet name="239" sheetId="22" r:id="rId22"/>
    <sheet name="241" sheetId="23" r:id="rId23"/>
    <sheet name="43" sheetId="24" r:id="rId24"/>
    <sheet name="62" sheetId="25" r:id="rId25"/>
    <sheet name="24" sheetId="26" r:id="rId26"/>
    <sheet name="49" sheetId="27" r:id="rId27"/>
    <sheet name="40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8" l="1"/>
  <c r="AA3" i="28"/>
  <c r="Z3" i="28"/>
  <c r="Y3" i="28"/>
  <c r="X3" i="28"/>
  <c r="W3" i="28"/>
  <c r="V3" i="28"/>
  <c r="U3" i="28"/>
  <c r="T3" i="28"/>
  <c r="S3" i="28"/>
  <c r="R3" i="28"/>
  <c r="Q3" i="28"/>
  <c r="P3" i="28"/>
  <c r="AB2" i="28"/>
  <c r="AA2" i="28"/>
  <c r="Z2" i="28"/>
  <c r="Y2" i="28"/>
  <c r="X2" i="28"/>
  <c r="W2" i="28"/>
  <c r="V2" i="28"/>
  <c r="U2" i="28"/>
  <c r="T2" i="28"/>
  <c r="S2" i="28"/>
  <c r="R2" i="28"/>
  <c r="Q2" i="28"/>
  <c r="P2" i="28"/>
  <c r="Q1" i="28"/>
  <c r="R1" i="28" s="1"/>
  <c r="S1" i="28" s="1"/>
  <c r="T1" i="28" s="1"/>
  <c r="U1" i="28" s="1"/>
  <c r="V1" i="28" s="1"/>
  <c r="W1" i="28" s="1"/>
  <c r="X1" i="28" s="1"/>
  <c r="Y1" i="28" s="1"/>
  <c r="Z1" i="28" s="1"/>
  <c r="AA1" i="28" s="1"/>
  <c r="AB1" i="28" s="1"/>
  <c r="C1" i="28"/>
  <c r="D1" i="28" s="1"/>
  <c r="E1" i="28" s="1"/>
  <c r="F1" i="28" s="1"/>
  <c r="G1" i="28" s="1"/>
  <c r="H1" i="28" s="1"/>
  <c r="I1" i="28" s="1"/>
  <c r="J1" i="28" s="1"/>
  <c r="K1" i="28" s="1"/>
  <c r="L1" i="28" s="1"/>
  <c r="M1" i="28" s="1"/>
  <c r="N1" i="28" s="1"/>
  <c r="AB3" i="27" l="1"/>
  <c r="AA3" i="27"/>
  <c r="Z3" i="27"/>
  <c r="Y3" i="27"/>
  <c r="X3" i="27"/>
  <c r="W3" i="27"/>
  <c r="V3" i="27"/>
  <c r="U3" i="27"/>
  <c r="T3" i="27"/>
  <c r="S3" i="27"/>
  <c r="R3" i="27"/>
  <c r="Q3" i="27"/>
  <c r="P3" i="27"/>
  <c r="AB2" i="27"/>
  <c r="AA2" i="27"/>
  <c r="Z2" i="27"/>
  <c r="Y2" i="27"/>
  <c r="X2" i="27"/>
  <c r="W2" i="27"/>
  <c r="V2" i="27"/>
  <c r="U2" i="27"/>
  <c r="T2" i="27"/>
  <c r="S2" i="27"/>
  <c r="R2" i="27"/>
  <c r="Q2" i="27"/>
  <c r="P2" i="27"/>
  <c r="Q1" i="27"/>
  <c r="R1" i="27" s="1"/>
  <c r="S1" i="27" s="1"/>
  <c r="T1" i="27" s="1"/>
  <c r="U1" i="27" s="1"/>
  <c r="V1" i="27" s="1"/>
  <c r="W1" i="27" s="1"/>
  <c r="X1" i="27" s="1"/>
  <c r="Y1" i="27" s="1"/>
  <c r="Z1" i="27" s="1"/>
  <c r="AA1" i="27" s="1"/>
  <c r="AB1" i="27" s="1"/>
  <c r="C1" i="27"/>
  <c r="D1" i="27" s="1"/>
  <c r="E1" i="27" s="1"/>
  <c r="F1" i="27" s="1"/>
  <c r="G1" i="27" s="1"/>
  <c r="H1" i="27" s="1"/>
  <c r="I1" i="27" s="1"/>
  <c r="J1" i="27" s="1"/>
  <c r="K1" i="27" s="1"/>
  <c r="L1" i="27" s="1"/>
  <c r="M1" i="27" s="1"/>
  <c r="N1" i="27" s="1"/>
  <c r="AB3" i="26"/>
  <c r="AA3" i="26"/>
  <c r="Z3" i="26"/>
  <c r="Y3" i="26"/>
  <c r="X3" i="26"/>
  <c r="W3" i="26"/>
  <c r="V3" i="26"/>
  <c r="U3" i="26"/>
  <c r="T3" i="26"/>
  <c r="S3" i="26"/>
  <c r="R3" i="26"/>
  <c r="Q3" i="26"/>
  <c r="P3" i="26"/>
  <c r="AB2" i="26"/>
  <c r="AA2" i="26"/>
  <c r="Z2" i="26"/>
  <c r="Y2" i="26"/>
  <c r="X2" i="26"/>
  <c r="W2" i="26"/>
  <c r="V2" i="26"/>
  <c r="U2" i="26"/>
  <c r="T2" i="26"/>
  <c r="S2" i="26"/>
  <c r="R2" i="26"/>
  <c r="Q2" i="26"/>
  <c r="P2" i="26"/>
  <c r="R1" i="26"/>
  <c r="S1" i="26" s="1"/>
  <c r="T1" i="26" s="1"/>
  <c r="U1" i="26" s="1"/>
  <c r="V1" i="26" s="1"/>
  <c r="W1" i="26" s="1"/>
  <c r="X1" i="26" s="1"/>
  <c r="Y1" i="26" s="1"/>
  <c r="Z1" i="26" s="1"/>
  <c r="AA1" i="26" s="1"/>
  <c r="AB1" i="26" s="1"/>
  <c r="Q1" i="26"/>
  <c r="C1" i="26"/>
  <c r="D1" i="26" s="1"/>
  <c r="E1" i="26" s="1"/>
  <c r="F1" i="26" s="1"/>
  <c r="G1" i="26" s="1"/>
  <c r="H1" i="26" s="1"/>
  <c r="I1" i="26" s="1"/>
  <c r="J1" i="26" s="1"/>
  <c r="K1" i="26" s="1"/>
  <c r="L1" i="26" s="1"/>
  <c r="M1" i="26" s="1"/>
  <c r="N1" i="26" s="1"/>
  <c r="AB3" i="25" l="1"/>
  <c r="AA3" i="25"/>
  <c r="Z3" i="25"/>
  <c r="Y3" i="25"/>
  <c r="X3" i="25"/>
  <c r="W3" i="25"/>
  <c r="V3" i="25"/>
  <c r="U3" i="25"/>
  <c r="T3" i="25"/>
  <c r="S3" i="25"/>
  <c r="R3" i="25"/>
  <c r="Q3" i="25"/>
  <c r="P3" i="25"/>
  <c r="AB2" i="25"/>
  <c r="AA2" i="25"/>
  <c r="Z2" i="25"/>
  <c r="Y2" i="25"/>
  <c r="X2" i="25"/>
  <c r="W2" i="25"/>
  <c r="V2" i="25"/>
  <c r="U2" i="25"/>
  <c r="T2" i="25"/>
  <c r="S2" i="25"/>
  <c r="R2" i="25"/>
  <c r="Q2" i="25"/>
  <c r="P2" i="25"/>
  <c r="Q1" i="25"/>
  <c r="R1" i="25" s="1"/>
  <c r="S1" i="25" s="1"/>
  <c r="T1" i="25" s="1"/>
  <c r="U1" i="25" s="1"/>
  <c r="V1" i="25" s="1"/>
  <c r="W1" i="25" s="1"/>
  <c r="X1" i="25" s="1"/>
  <c r="Y1" i="25" s="1"/>
  <c r="Z1" i="25" s="1"/>
  <c r="AA1" i="25" s="1"/>
  <c r="AB1" i="25" s="1"/>
  <c r="C1" i="25"/>
  <c r="D1" i="25" s="1"/>
  <c r="E1" i="25" s="1"/>
  <c r="F1" i="25" s="1"/>
  <c r="G1" i="25" s="1"/>
  <c r="H1" i="25" s="1"/>
  <c r="I1" i="25" s="1"/>
  <c r="J1" i="25" s="1"/>
  <c r="K1" i="25" s="1"/>
  <c r="L1" i="25" s="1"/>
  <c r="M1" i="25" s="1"/>
  <c r="N1" i="25" s="1"/>
  <c r="AB3" i="24"/>
  <c r="AA3" i="24"/>
  <c r="Z3" i="24"/>
  <c r="Y3" i="24"/>
  <c r="X3" i="24"/>
  <c r="W3" i="24"/>
  <c r="V3" i="24"/>
  <c r="U3" i="24"/>
  <c r="T3" i="24"/>
  <c r="S3" i="24"/>
  <c r="R3" i="24"/>
  <c r="Q3" i="24"/>
  <c r="P3" i="24"/>
  <c r="AB2" i="24"/>
  <c r="AA2" i="24"/>
  <c r="Z2" i="24"/>
  <c r="Y2" i="24"/>
  <c r="X2" i="24"/>
  <c r="W2" i="24"/>
  <c r="V2" i="24"/>
  <c r="U2" i="24"/>
  <c r="T2" i="24"/>
  <c r="S2" i="24"/>
  <c r="R2" i="24"/>
  <c r="Q2" i="24"/>
  <c r="P2" i="24"/>
  <c r="R1" i="24"/>
  <c r="S1" i="24" s="1"/>
  <c r="T1" i="24" s="1"/>
  <c r="U1" i="24" s="1"/>
  <c r="V1" i="24" s="1"/>
  <c r="W1" i="24" s="1"/>
  <c r="X1" i="24" s="1"/>
  <c r="Y1" i="24" s="1"/>
  <c r="Z1" i="24" s="1"/>
  <c r="AA1" i="24" s="1"/>
  <c r="AB1" i="24" s="1"/>
  <c r="Q1" i="24"/>
  <c r="C1" i="24"/>
  <c r="D1" i="24" s="1"/>
  <c r="E1" i="24" s="1"/>
  <c r="F1" i="24" s="1"/>
  <c r="G1" i="24" s="1"/>
  <c r="H1" i="24" s="1"/>
  <c r="I1" i="24" s="1"/>
  <c r="J1" i="24" s="1"/>
  <c r="K1" i="24" s="1"/>
  <c r="L1" i="24" s="1"/>
  <c r="M1" i="24" s="1"/>
  <c r="N1" i="24" s="1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Q1" i="23"/>
  <c r="R1" i="23" s="1"/>
  <c r="S1" i="23" s="1"/>
  <c r="T1" i="23" s="1"/>
  <c r="U1" i="23" s="1"/>
  <c r="V1" i="23" s="1"/>
  <c r="W1" i="23" s="1"/>
  <c r="X1" i="23" s="1"/>
  <c r="Y1" i="23" s="1"/>
  <c r="Z1" i="23" s="1"/>
  <c r="AA1" i="23" s="1"/>
  <c r="AB1" i="23" s="1"/>
  <c r="C1" i="23"/>
  <c r="D1" i="23" s="1"/>
  <c r="E1" i="23" s="1"/>
  <c r="F1" i="23" s="1"/>
  <c r="G1" i="23" s="1"/>
  <c r="H1" i="23" s="1"/>
  <c r="I1" i="23" s="1"/>
  <c r="J1" i="23" s="1"/>
  <c r="K1" i="23" s="1"/>
  <c r="L1" i="23" s="1"/>
  <c r="M1" i="23" s="1"/>
  <c r="N1" i="23" s="1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AB2" i="22"/>
  <c r="AA2" i="22"/>
  <c r="Z2" i="22"/>
  <c r="Y2" i="22"/>
  <c r="X2" i="22"/>
  <c r="W2" i="22"/>
  <c r="V2" i="22"/>
  <c r="U2" i="22"/>
  <c r="T2" i="22"/>
  <c r="S2" i="22"/>
  <c r="R2" i="22"/>
  <c r="Q2" i="22"/>
  <c r="P2" i="22"/>
  <c r="R1" i="22"/>
  <c r="S1" i="22" s="1"/>
  <c r="T1" i="22" s="1"/>
  <c r="U1" i="22" s="1"/>
  <c r="V1" i="22" s="1"/>
  <c r="W1" i="22" s="1"/>
  <c r="X1" i="22" s="1"/>
  <c r="Y1" i="22" s="1"/>
  <c r="Z1" i="22" s="1"/>
  <c r="AA1" i="22" s="1"/>
  <c r="AB1" i="22" s="1"/>
  <c r="Q1" i="22"/>
  <c r="E1" i="22"/>
  <c r="F1" i="22" s="1"/>
  <c r="G1" i="22" s="1"/>
  <c r="H1" i="22" s="1"/>
  <c r="I1" i="22" s="1"/>
  <c r="J1" i="22" s="1"/>
  <c r="K1" i="22" s="1"/>
  <c r="L1" i="22" s="1"/>
  <c r="M1" i="22" s="1"/>
  <c r="N1" i="22" s="1"/>
  <c r="D1" i="22"/>
  <c r="C1" i="22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AB2" i="21"/>
  <c r="AA2" i="21"/>
  <c r="Z2" i="21"/>
  <c r="Y2" i="21"/>
  <c r="X2" i="21"/>
  <c r="W2" i="21"/>
  <c r="V2" i="21"/>
  <c r="U2" i="21"/>
  <c r="T2" i="21"/>
  <c r="S2" i="21"/>
  <c r="R2" i="21"/>
  <c r="Q2" i="21"/>
  <c r="P2" i="21"/>
  <c r="Q1" i="21"/>
  <c r="R1" i="21" s="1"/>
  <c r="S1" i="21" s="1"/>
  <c r="T1" i="21" s="1"/>
  <c r="U1" i="21" s="1"/>
  <c r="V1" i="21" s="1"/>
  <c r="W1" i="21" s="1"/>
  <c r="X1" i="21" s="1"/>
  <c r="Y1" i="21" s="1"/>
  <c r="Z1" i="21" s="1"/>
  <c r="AA1" i="21" s="1"/>
  <c r="AB1" i="21" s="1"/>
  <c r="C1" i="21"/>
  <c r="D1" i="21" s="1"/>
  <c r="E1" i="21" s="1"/>
  <c r="F1" i="21" s="1"/>
  <c r="G1" i="21" s="1"/>
  <c r="H1" i="21" s="1"/>
  <c r="I1" i="21" s="1"/>
  <c r="J1" i="21" s="1"/>
  <c r="K1" i="21" s="1"/>
  <c r="L1" i="21" s="1"/>
  <c r="M1" i="21" s="1"/>
  <c r="N1" i="21" s="1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Q1" i="20"/>
  <c r="R1" i="20" s="1"/>
  <c r="S1" i="20" s="1"/>
  <c r="T1" i="20" s="1"/>
  <c r="U1" i="20" s="1"/>
  <c r="V1" i="20" s="1"/>
  <c r="W1" i="20" s="1"/>
  <c r="X1" i="20" s="1"/>
  <c r="Y1" i="20" s="1"/>
  <c r="Z1" i="20" s="1"/>
  <c r="AA1" i="20" s="1"/>
  <c r="AB1" i="20" s="1"/>
  <c r="C1" i="20"/>
  <c r="D1" i="20" s="1"/>
  <c r="E1" i="20" s="1"/>
  <c r="F1" i="20" s="1"/>
  <c r="G1" i="20" s="1"/>
  <c r="H1" i="20" s="1"/>
  <c r="I1" i="20" s="1"/>
  <c r="J1" i="20" s="1"/>
  <c r="K1" i="20" s="1"/>
  <c r="L1" i="20" s="1"/>
  <c r="M1" i="20" s="1"/>
  <c r="N1" i="20" s="1"/>
  <c r="AB3" i="19"/>
  <c r="AA3" i="19"/>
  <c r="Z3" i="19"/>
  <c r="Y3" i="19"/>
  <c r="X3" i="19"/>
  <c r="W3" i="19"/>
  <c r="V3" i="19"/>
  <c r="U3" i="19"/>
  <c r="T3" i="19"/>
  <c r="S3" i="19"/>
  <c r="R3" i="19"/>
  <c r="Q3" i="19"/>
  <c r="P3" i="19"/>
  <c r="AB2" i="19"/>
  <c r="AA2" i="19"/>
  <c r="Z2" i="19"/>
  <c r="Y2" i="19"/>
  <c r="X2" i="19"/>
  <c r="W2" i="19"/>
  <c r="V2" i="19"/>
  <c r="U2" i="19"/>
  <c r="T2" i="19"/>
  <c r="S2" i="19"/>
  <c r="R2" i="19"/>
  <c r="Q2" i="19"/>
  <c r="P2" i="19"/>
  <c r="Q1" i="19"/>
  <c r="R1" i="19" s="1"/>
  <c r="S1" i="19" s="1"/>
  <c r="T1" i="19" s="1"/>
  <c r="U1" i="19" s="1"/>
  <c r="V1" i="19" s="1"/>
  <c r="W1" i="19" s="1"/>
  <c r="X1" i="19" s="1"/>
  <c r="Y1" i="19" s="1"/>
  <c r="Z1" i="19" s="1"/>
  <c r="AA1" i="19" s="1"/>
  <c r="AB1" i="19" s="1"/>
  <c r="C1" i="19"/>
  <c r="D1" i="19" s="1"/>
  <c r="E1" i="19" s="1"/>
  <c r="F1" i="19" s="1"/>
  <c r="G1" i="19" s="1"/>
  <c r="H1" i="19" s="1"/>
  <c r="I1" i="19" s="1"/>
  <c r="J1" i="19" s="1"/>
  <c r="K1" i="19" s="1"/>
  <c r="L1" i="19" s="1"/>
  <c r="M1" i="19" s="1"/>
  <c r="N1" i="19" s="1"/>
  <c r="AB3" i="18"/>
  <c r="AA3" i="18"/>
  <c r="Z3" i="18"/>
  <c r="Y3" i="18"/>
  <c r="X3" i="18"/>
  <c r="W3" i="18"/>
  <c r="V3" i="18"/>
  <c r="U3" i="18"/>
  <c r="T3" i="18"/>
  <c r="S3" i="18"/>
  <c r="R3" i="18"/>
  <c r="Q3" i="18"/>
  <c r="P3" i="18"/>
  <c r="AB2" i="18"/>
  <c r="AA2" i="18"/>
  <c r="Z2" i="18"/>
  <c r="Y2" i="18"/>
  <c r="X2" i="18"/>
  <c r="W2" i="18"/>
  <c r="V2" i="18"/>
  <c r="U2" i="18"/>
  <c r="T2" i="18"/>
  <c r="S2" i="18"/>
  <c r="R2" i="18"/>
  <c r="Q2" i="18"/>
  <c r="P2" i="18"/>
  <c r="Q1" i="18"/>
  <c r="R1" i="18" s="1"/>
  <c r="S1" i="18" s="1"/>
  <c r="T1" i="18" s="1"/>
  <c r="U1" i="18" s="1"/>
  <c r="V1" i="18" s="1"/>
  <c r="W1" i="18" s="1"/>
  <c r="X1" i="18" s="1"/>
  <c r="Y1" i="18" s="1"/>
  <c r="Z1" i="18" s="1"/>
  <c r="AA1" i="18" s="1"/>
  <c r="AB1" i="18" s="1"/>
  <c r="C1" i="18"/>
  <c r="D1" i="18" s="1"/>
  <c r="E1" i="18" s="1"/>
  <c r="F1" i="18" s="1"/>
  <c r="G1" i="18" s="1"/>
  <c r="H1" i="18" s="1"/>
  <c r="I1" i="18" s="1"/>
  <c r="J1" i="18" s="1"/>
  <c r="K1" i="18" s="1"/>
  <c r="L1" i="18" s="1"/>
  <c r="M1" i="18" s="1"/>
  <c r="N1" i="18" s="1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AB2" i="17"/>
  <c r="AA2" i="17"/>
  <c r="Z2" i="17"/>
  <c r="Y2" i="17"/>
  <c r="X2" i="17"/>
  <c r="W2" i="17"/>
  <c r="V2" i="17"/>
  <c r="U2" i="17"/>
  <c r="T2" i="17"/>
  <c r="S2" i="17"/>
  <c r="R2" i="17"/>
  <c r="Q2" i="17"/>
  <c r="P2" i="17"/>
  <c r="Q1" i="17"/>
  <c r="R1" i="17" s="1"/>
  <c r="S1" i="17" s="1"/>
  <c r="T1" i="17" s="1"/>
  <c r="U1" i="17" s="1"/>
  <c r="V1" i="17" s="1"/>
  <c r="W1" i="17" s="1"/>
  <c r="X1" i="17" s="1"/>
  <c r="Y1" i="17" s="1"/>
  <c r="Z1" i="17" s="1"/>
  <c r="AA1" i="17" s="1"/>
  <c r="AB1" i="17" s="1"/>
  <c r="C1" i="17"/>
  <c r="D1" i="17" s="1"/>
  <c r="E1" i="17" s="1"/>
  <c r="F1" i="17" s="1"/>
  <c r="G1" i="17" s="1"/>
  <c r="H1" i="17" s="1"/>
  <c r="I1" i="17" s="1"/>
  <c r="J1" i="17" s="1"/>
  <c r="K1" i="17" s="1"/>
  <c r="L1" i="17" s="1"/>
  <c r="M1" i="17" s="1"/>
  <c r="N1" i="17" s="1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AB2" i="16"/>
  <c r="AA2" i="16"/>
  <c r="Z2" i="16"/>
  <c r="Y2" i="16"/>
  <c r="X2" i="16"/>
  <c r="W2" i="16"/>
  <c r="V2" i="16"/>
  <c r="U2" i="16"/>
  <c r="T2" i="16"/>
  <c r="S2" i="16"/>
  <c r="R2" i="16"/>
  <c r="Q2" i="16"/>
  <c r="P2" i="16"/>
  <c r="Q1" i="16"/>
  <c r="R1" i="16" s="1"/>
  <c r="S1" i="16" s="1"/>
  <c r="T1" i="16" s="1"/>
  <c r="U1" i="16" s="1"/>
  <c r="V1" i="16" s="1"/>
  <c r="W1" i="16" s="1"/>
  <c r="X1" i="16" s="1"/>
  <c r="Y1" i="16" s="1"/>
  <c r="Z1" i="16" s="1"/>
  <c r="AA1" i="16" s="1"/>
  <c r="AB1" i="16" s="1"/>
  <c r="C1" i="16"/>
  <c r="D1" i="16" s="1"/>
  <c r="E1" i="16" s="1"/>
  <c r="F1" i="16" s="1"/>
  <c r="G1" i="16" s="1"/>
  <c r="H1" i="16" s="1"/>
  <c r="I1" i="16" s="1"/>
  <c r="J1" i="16" s="1"/>
  <c r="K1" i="16" s="1"/>
  <c r="L1" i="16" s="1"/>
  <c r="M1" i="16" s="1"/>
  <c r="N1" i="16" s="1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AB2" i="15"/>
  <c r="AA2" i="15"/>
  <c r="Z2" i="15"/>
  <c r="Y2" i="15"/>
  <c r="X2" i="15"/>
  <c r="W2" i="15"/>
  <c r="V2" i="15"/>
  <c r="U2" i="15"/>
  <c r="T2" i="15"/>
  <c r="S2" i="15"/>
  <c r="R2" i="15"/>
  <c r="Q2" i="15"/>
  <c r="P2" i="15"/>
  <c r="Q1" i="15"/>
  <c r="R1" i="15" s="1"/>
  <c r="S1" i="15" s="1"/>
  <c r="T1" i="15" s="1"/>
  <c r="U1" i="15" s="1"/>
  <c r="V1" i="15" s="1"/>
  <c r="W1" i="15" s="1"/>
  <c r="X1" i="15" s="1"/>
  <c r="Y1" i="15" s="1"/>
  <c r="Z1" i="15" s="1"/>
  <c r="AA1" i="15" s="1"/>
  <c r="AB1" i="15" s="1"/>
  <c r="E1" i="15"/>
  <c r="F1" i="15" s="1"/>
  <c r="G1" i="15" s="1"/>
  <c r="H1" i="15" s="1"/>
  <c r="I1" i="15" s="1"/>
  <c r="J1" i="15" s="1"/>
  <c r="K1" i="15" s="1"/>
  <c r="L1" i="15" s="1"/>
  <c r="M1" i="15" s="1"/>
  <c r="N1" i="15" s="1"/>
  <c r="D1" i="15"/>
  <c r="C1" i="15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Q1" i="14"/>
  <c r="R1" i="14" s="1"/>
  <c r="S1" i="14" s="1"/>
  <c r="T1" i="14" s="1"/>
  <c r="U1" i="14" s="1"/>
  <c r="V1" i="14" s="1"/>
  <c r="W1" i="14" s="1"/>
  <c r="X1" i="14" s="1"/>
  <c r="Y1" i="14" s="1"/>
  <c r="Z1" i="14" s="1"/>
  <c r="AA1" i="14" s="1"/>
  <c r="AB1" i="14" s="1"/>
  <c r="C1" i="14"/>
  <c r="D1" i="14" s="1"/>
  <c r="E1" i="14" s="1"/>
  <c r="F1" i="14" s="1"/>
  <c r="G1" i="14" s="1"/>
  <c r="H1" i="14" s="1"/>
  <c r="I1" i="14" s="1"/>
  <c r="J1" i="14" s="1"/>
  <c r="K1" i="14" s="1"/>
  <c r="L1" i="14" s="1"/>
  <c r="M1" i="14" s="1"/>
  <c r="N1" i="14" s="1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Q1" i="13"/>
  <c r="R1" i="13" s="1"/>
  <c r="S1" i="13" s="1"/>
  <c r="T1" i="13" s="1"/>
  <c r="U1" i="13" s="1"/>
  <c r="V1" i="13" s="1"/>
  <c r="W1" i="13" s="1"/>
  <c r="X1" i="13" s="1"/>
  <c r="Y1" i="13" s="1"/>
  <c r="Z1" i="13" s="1"/>
  <c r="AA1" i="13" s="1"/>
  <c r="AB1" i="13" s="1"/>
  <c r="C1" i="13"/>
  <c r="D1" i="13" s="1"/>
  <c r="E1" i="13" s="1"/>
  <c r="F1" i="13" s="1"/>
  <c r="G1" i="13" s="1"/>
  <c r="H1" i="13" s="1"/>
  <c r="I1" i="13" s="1"/>
  <c r="J1" i="13" s="1"/>
  <c r="K1" i="13" s="1"/>
  <c r="L1" i="13" s="1"/>
  <c r="M1" i="13" s="1"/>
  <c r="N1" i="13" s="1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AB2" i="12"/>
  <c r="AA2" i="12"/>
  <c r="Z2" i="12"/>
  <c r="Y2" i="12"/>
  <c r="X2" i="12"/>
  <c r="W2" i="12"/>
  <c r="V2" i="12"/>
  <c r="U2" i="12"/>
  <c r="T2" i="12"/>
  <c r="S2" i="12"/>
  <c r="R2" i="12"/>
  <c r="Q2" i="12"/>
  <c r="P2" i="12"/>
  <c r="R1" i="12"/>
  <c r="S1" i="12" s="1"/>
  <c r="T1" i="12" s="1"/>
  <c r="U1" i="12" s="1"/>
  <c r="V1" i="12" s="1"/>
  <c r="W1" i="12" s="1"/>
  <c r="X1" i="12" s="1"/>
  <c r="Y1" i="12" s="1"/>
  <c r="Z1" i="12" s="1"/>
  <c r="AA1" i="12" s="1"/>
  <c r="AB1" i="12" s="1"/>
  <c r="Q1" i="12"/>
  <c r="E1" i="12"/>
  <c r="F1" i="12" s="1"/>
  <c r="G1" i="12" s="1"/>
  <c r="H1" i="12" s="1"/>
  <c r="I1" i="12" s="1"/>
  <c r="J1" i="12" s="1"/>
  <c r="K1" i="12" s="1"/>
  <c r="L1" i="12" s="1"/>
  <c r="M1" i="12" s="1"/>
  <c r="N1" i="12" s="1"/>
  <c r="D1" i="12"/>
  <c r="C1" i="12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Q1" i="11"/>
  <c r="R1" i="11" s="1"/>
  <c r="S1" i="11" s="1"/>
  <c r="T1" i="11" s="1"/>
  <c r="U1" i="11" s="1"/>
  <c r="V1" i="11" s="1"/>
  <c r="W1" i="11" s="1"/>
  <c r="X1" i="11" s="1"/>
  <c r="Y1" i="11" s="1"/>
  <c r="Z1" i="11" s="1"/>
  <c r="AA1" i="11" s="1"/>
  <c r="AB1" i="11" s="1"/>
  <c r="E1" i="11"/>
  <c r="F1" i="11" s="1"/>
  <c r="G1" i="11" s="1"/>
  <c r="H1" i="11" s="1"/>
  <c r="I1" i="11" s="1"/>
  <c r="J1" i="11" s="1"/>
  <c r="K1" i="11" s="1"/>
  <c r="L1" i="11" s="1"/>
  <c r="M1" i="11" s="1"/>
  <c r="N1" i="11" s="1"/>
  <c r="D1" i="11"/>
  <c r="C1" i="11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AB2" i="10"/>
  <c r="AA2" i="10"/>
  <c r="Z2" i="10"/>
  <c r="Y2" i="10"/>
  <c r="X2" i="10"/>
  <c r="W2" i="10"/>
  <c r="V2" i="10"/>
  <c r="U2" i="10"/>
  <c r="T2" i="10"/>
  <c r="S2" i="10"/>
  <c r="R2" i="10"/>
  <c r="Q2" i="10"/>
  <c r="P2" i="10"/>
  <c r="Q1" i="10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C1" i="10"/>
  <c r="D1" i="10" s="1"/>
  <c r="E1" i="10" s="1"/>
  <c r="F1" i="10" s="1"/>
  <c r="G1" i="10" s="1"/>
  <c r="H1" i="10" s="1"/>
  <c r="I1" i="10" s="1"/>
  <c r="J1" i="10" s="1"/>
  <c r="K1" i="10" s="1"/>
  <c r="L1" i="10" s="1"/>
  <c r="M1" i="10" s="1"/>
  <c r="N1" i="10" s="1"/>
  <c r="AB3" i="9"/>
  <c r="AA3" i="9"/>
  <c r="Z3" i="9"/>
  <c r="Y3" i="9"/>
  <c r="X3" i="9"/>
  <c r="W3" i="9"/>
  <c r="V3" i="9"/>
  <c r="U3" i="9"/>
  <c r="T3" i="9"/>
  <c r="S3" i="9"/>
  <c r="R3" i="9"/>
  <c r="Q3" i="9"/>
  <c r="P3" i="9"/>
  <c r="AB2" i="9"/>
  <c r="AA2" i="9"/>
  <c r="Z2" i="9"/>
  <c r="Y2" i="9"/>
  <c r="X2" i="9"/>
  <c r="W2" i="9"/>
  <c r="V2" i="9"/>
  <c r="U2" i="9"/>
  <c r="T2" i="9"/>
  <c r="S2" i="9"/>
  <c r="R2" i="9"/>
  <c r="Q2" i="9"/>
  <c r="P2" i="9"/>
  <c r="Q1" i="9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C1" i="9"/>
  <c r="D1" i="9" s="1"/>
  <c r="E1" i="9" s="1"/>
  <c r="F1" i="9" s="1"/>
  <c r="G1" i="9" s="1"/>
  <c r="H1" i="9" s="1"/>
  <c r="I1" i="9" s="1"/>
  <c r="J1" i="9" s="1"/>
  <c r="K1" i="9" s="1"/>
  <c r="L1" i="9" s="1"/>
  <c r="M1" i="9" s="1"/>
  <c r="N1" i="9" s="1"/>
  <c r="AB3" i="8"/>
  <c r="AA3" i="8"/>
  <c r="Z3" i="8"/>
  <c r="Y3" i="8"/>
  <c r="X3" i="8"/>
  <c r="W3" i="8"/>
  <c r="V3" i="8"/>
  <c r="U3" i="8"/>
  <c r="T3" i="8"/>
  <c r="S3" i="8"/>
  <c r="R3" i="8"/>
  <c r="Q3" i="8"/>
  <c r="P3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Q1" i="8"/>
  <c r="R1" i="8" s="1"/>
  <c r="S1" i="8" s="1"/>
  <c r="T1" i="8" s="1"/>
  <c r="U1" i="8" s="1"/>
  <c r="V1" i="8" s="1"/>
  <c r="W1" i="8" s="1"/>
  <c r="X1" i="8" s="1"/>
  <c r="Y1" i="8" s="1"/>
  <c r="Z1" i="8" s="1"/>
  <c r="AA1" i="8" s="1"/>
  <c r="AB1" i="8" s="1"/>
  <c r="C1" i="8"/>
  <c r="D1" i="8" s="1"/>
  <c r="E1" i="8" s="1"/>
  <c r="F1" i="8" s="1"/>
  <c r="G1" i="8" s="1"/>
  <c r="H1" i="8" s="1"/>
  <c r="I1" i="8" s="1"/>
  <c r="J1" i="8" s="1"/>
  <c r="K1" i="8" s="1"/>
  <c r="L1" i="8" s="1"/>
  <c r="M1" i="8" s="1"/>
  <c r="N1" i="8" s="1"/>
  <c r="AB3" i="7"/>
  <c r="AA3" i="7"/>
  <c r="Z3" i="7"/>
  <c r="Y3" i="7"/>
  <c r="X3" i="7"/>
  <c r="W3" i="7"/>
  <c r="V3" i="7"/>
  <c r="U3" i="7"/>
  <c r="T3" i="7"/>
  <c r="S3" i="7"/>
  <c r="R3" i="7"/>
  <c r="Q3" i="7"/>
  <c r="P3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Q1" i="7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C1" i="7"/>
  <c r="D1" i="7" s="1"/>
  <c r="E1" i="7" s="1"/>
  <c r="F1" i="7" s="1"/>
  <c r="G1" i="7" s="1"/>
  <c r="H1" i="7" s="1"/>
  <c r="I1" i="7" s="1"/>
  <c r="J1" i="7" s="1"/>
  <c r="K1" i="7" s="1"/>
  <c r="L1" i="7" s="1"/>
  <c r="M1" i="7" s="1"/>
  <c r="N1" i="7" s="1"/>
  <c r="AB3" i="6"/>
  <c r="AA3" i="6"/>
  <c r="Z3" i="6"/>
  <c r="Y3" i="6"/>
  <c r="X3" i="6"/>
  <c r="W3" i="6"/>
  <c r="V3" i="6"/>
  <c r="U3" i="6"/>
  <c r="T3" i="6"/>
  <c r="S3" i="6"/>
  <c r="R3" i="6"/>
  <c r="Q3" i="6"/>
  <c r="P3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Q1" i="6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D1" i="6"/>
  <c r="E1" i="6" s="1"/>
  <c r="F1" i="6" s="1"/>
  <c r="G1" i="6" s="1"/>
  <c r="H1" i="6" s="1"/>
  <c r="I1" i="6" s="1"/>
  <c r="J1" i="6" s="1"/>
  <c r="K1" i="6" s="1"/>
  <c r="L1" i="6" s="1"/>
  <c r="M1" i="6" s="1"/>
  <c r="N1" i="6" s="1"/>
  <c r="C1" i="6"/>
  <c r="AB3" i="5"/>
  <c r="AA3" i="5"/>
  <c r="Z3" i="5"/>
  <c r="Y3" i="5"/>
  <c r="X3" i="5"/>
  <c r="W3" i="5"/>
  <c r="V3" i="5"/>
  <c r="U3" i="5"/>
  <c r="T3" i="5"/>
  <c r="S3" i="5"/>
  <c r="R3" i="5"/>
  <c r="Q3" i="5"/>
  <c r="P3" i="5"/>
  <c r="AB2" i="5"/>
  <c r="AA2" i="5"/>
  <c r="Z2" i="5"/>
  <c r="Y2" i="5"/>
  <c r="X2" i="5"/>
  <c r="W2" i="5"/>
  <c r="V2" i="5"/>
  <c r="U2" i="5"/>
  <c r="T2" i="5"/>
  <c r="S2" i="5"/>
  <c r="R2" i="5"/>
  <c r="Q2" i="5"/>
  <c r="P2" i="5"/>
  <c r="Q1" i="5"/>
  <c r="R1" i="5" s="1"/>
  <c r="S1" i="5" s="1"/>
  <c r="T1" i="5" s="1"/>
  <c r="U1" i="5" s="1"/>
  <c r="V1" i="5" s="1"/>
  <c r="W1" i="5" s="1"/>
  <c r="X1" i="5" s="1"/>
  <c r="Y1" i="5" s="1"/>
  <c r="Z1" i="5" s="1"/>
  <c r="AA1" i="5" s="1"/>
  <c r="AB1" i="5" s="1"/>
  <c r="C1" i="5"/>
  <c r="D1" i="5" s="1"/>
  <c r="E1" i="5" s="1"/>
  <c r="F1" i="5" s="1"/>
  <c r="G1" i="5" s="1"/>
  <c r="H1" i="5" s="1"/>
  <c r="I1" i="5" s="1"/>
  <c r="J1" i="5" s="1"/>
  <c r="K1" i="5" s="1"/>
  <c r="L1" i="5" s="1"/>
  <c r="M1" i="5" s="1"/>
  <c r="N1" i="5" s="1"/>
  <c r="AB3" i="4"/>
  <c r="AA3" i="4"/>
  <c r="Z3" i="4"/>
  <c r="Y3" i="4"/>
  <c r="X3" i="4"/>
  <c r="W3" i="4"/>
  <c r="V3" i="4"/>
  <c r="U3" i="4"/>
  <c r="T3" i="4"/>
  <c r="S3" i="4"/>
  <c r="R3" i="4"/>
  <c r="Q3" i="4"/>
  <c r="P3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R1" i="4"/>
  <c r="S1" i="4" s="1"/>
  <c r="T1" i="4" s="1"/>
  <c r="U1" i="4" s="1"/>
  <c r="V1" i="4" s="1"/>
  <c r="W1" i="4" s="1"/>
  <c r="X1" i="4" s="1"/>
  <c r="Y1" i="4" s="1"/>
  <c r="Z1" i="4" s="1"/>
  <c r="AA1" i="4" s="1"/>
  <c r="AB1" i="4" s="1"/>
  <c r="Q1" i="4"/>
  <c r="D1" i="4"/>
  <c r="E1" i="4" s="1"/>
  <c r="F1" i="4" s="1"/>
  <c r="G1" i="4" s="1"/>
  <c r="H1" i="4" s="1"/>
  <c r="I1" i="4" s="1"/>
  <c r="J1" i="4" s="1"/>
  <c r="K1" i="4" s="1"/>
  <c r="L1" i="4" s="1"/>
  <c r="M1" i="4" s="1"/>
  <c r="N1" i="4" s="1"/>
  <c r="C1" i="4"/>
  <c r="AB3" i="3"/>
  <c r="AA3" i="3"/>
  <c r="Z3" i="3"/>
  <c r="Y3" i="3"/>
  <c r="X3" i="3"/>
  <c r="W3" i="3"/>
  <c r="V3" i="3"/>
  <c r="U3" i="3"/>
  <c r="T3" i="3"/>
  <c r="S3" i="3"/>
  <c r="R3" i="3"/>
  <c r="Q3" i="3"/>
  <c r="P3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R1" i="3"/>
  <c r="S1" i="3" s="1"/>
  <c r="T1" i="3" s="1"/>
  <c r="U1" i="3" s="1"/>
  <c r="V1" i="3" s="1"/>
  <c r="W1" i="3" s="1"/>
  <c r="X1" i="3" s="1"/>
  <c r="Y1" i="3" s="1"/>
  <c r="Z1" i="3" s="1"/>
  <c r="AA1" i="3" s="1"/>
  <c r="AB1" i="3" s="1"/>
  <c r="Q1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AB3" i="2"/>
  <c r="AA3" i="2"/>
  <c r="Z3" i="2"/>
  <c r="Y3" i="2"/>
  <c r="X3" i="2"/>
  <c r="W3" i="2"/>
  <c r="V3" i="2"/>
  <c r="U3" i="2"/>
  <c r="T3" i="2"/>
  <c r="S3" i="2"/>
  <c r="R3" i="2"/>
  <c r="Q3" i="2"/>
  <c r="P3" i="2"/>
  <c r="AB2" i="2"/>
  <c r="AA2" i="2"/>
  <c r="Z2" i="2"/>
  <c r="Y2" i="2"/>
  <c r="X2" i="2"/>
  <c r="W2" i="2"/>
  <c r="V2" i="2"/>
  <c r="U2" i="2"/>
  <c r="T2" i="2"/>
  <c r="S2" i="2"/>
  <c r="R2" i="2"/>
  <c r="Q2" i="2"/>
  <c r="P2" i="2"/>
  <c r="R1" i="2"/>
  <c r="S1" i="2" s="1"/>
  <c r="T1" i="2" s="1"/>
  <c r="U1" i="2" s="1"/>
  <c r="V1" i="2" s="1"/>
  <c r="W1" i="2" s="1"/>
  <c r="X1" i="2" s="1"/>
  <c r="Y1" i="2" s="1"/>
  <c r="Z1" i="2" s="1"/>
  <c r="AA1" i="2" s="1"/>
  <c r="AB1" i="2" s="1"/>
  <c r="Q1" i="2"/>
  <c r="E1" i="2"/>
  <c r="F1" i="2" s="1"/>
  <c r="G1" i="2" s="1"/>
  <c r="H1" i="2" s="1"/>
  <c r="I1" i="2" s="1"/>
  <c r="J1" i="2" s="1"/>
  <c r="K1" i="2" s="1"/>
  <c r="L1" i="2" s="1"/>
  <c r="M1" i="2" s="1"/>
  <c r="N1" i="2" s="1"/>
  <c r="D1" i="2"/>
  <c r="C1" i="2"/>
  <c r="Q3" i="1"/>
  <c r="R3" i="1"/>
  <c r="S3" i="1"/>
  <c r="T3" i="1"/>
  <c r="U3" i="1"/>
  <c r="V3" i="1"/>
  <c r="W3" i="1"/>
  <c r="X3" i="1"/>
  <c r="Y3" i="1"/>
  <c r="Z3" i="1"/>
  <c r="AA3" i="1"/>
  <c r="AB3" i="1"/>
  <c r="P3" i="1"/>
  <c r="Q2" i="1"/>
  <c r="R2" i="1"/>
  <c r="S2" i="1"/>
  <c r="T2" i="1"/>
  <c r="U2" i="1"/>
  <c r="V2" i="1"/>
  <c r="W2" i="1"/>
  <c r="X2" i="1"/>
  <c r="Y2" i="1"/>
  <c r="Z2" i="1"/>
  <c r="AA2" i="1"/>
  <c r="AB2" i="1"/>
  <c r="Q1" i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P2" i="1"/>
  <c r="D1" i="1"/>
  <c r="E1" i="1"/>
  <c r="F1" i="1"/>
  <c r="G1" i="1" s="1"/>
  <c r="H1" i="1" s="1"/>
  <c r="I1" i="1" s="1"/>
  <c r="J1" i="1" s="1"/>
  <c r="K1" i="1" s="1"/>
  <c r="L1" i="1" s="1"/>
  <c r="M1" i="1" s="1"/>
  <c r="N1" i="1" s="1"/>
  <c r="C1" i="1"/>
</calcChain>
</file>

<file path=xl/sharedStrings.xml><?xml version="1.0" encoding="utf-8"?>
<sst xmlns="http://schemas.openxmlformats.org/spreadsheetml/2006/main" count="112" uniqueCount="3">
  <si>
    <t>Concentration</t>
  </si>
  <si>
    <t>Averaged out values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</si>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</sst>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  <charset val="129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4">
    <xf numFmtId="0" fontId="0" fillId="0" borderId="0" xfId="0"/>
    <xf numFmtId="0" fontId="3" fillId="0" borderId="0" xfId="1" applyFont="1">
      <alignment vertical="center"/>
    </xf>
    <xf numFmtId="0" fontId="3" fillId="0" borderId="0" xfId="0" applyFont="1" applyAlignment="1">
      <alignment vertical="center"/>
    </xf>
    <xf numFmtId="0" fontId="1" fillId="0" borderId="0" xfId="0" applyFont="1"/>
  </cellXfs>
  <cellStyles count="2">
    <cellStyle name="Normal" xfId="0" builtinId="0"/>
    <cellStyle name="Normal 2" xfId="1" xr:uid="{30547702-6869-4E64-AB76-2790E57AC9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ED7B-5AD6-47C7-A50A-7ABEA3418262}">
  <dimension ref="A1:AB27"/>
  <sheetViews>
    <sheetView workbookViewId="0">
      <selection activeCell="K22" sqref="K22"/>
    </sheetView>
  </sheetViews>
  <sheetFormatPr defaultRowHeight="15"/>
  <cols>
    <col min="15" max="15" width="19.140625" customWidth="1"/>
  </cols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1.0648855006762954</v>
      </c>
      <c r="F2">
        <v>89.439125697735804</v>
      </c>
      <c r="G2">
        <v>96.745904553593903</v>
      </c>
      <c r="H2">
        <v>130.96943063819086</v>
      </c>
      <c r="I2">
        <v>104.93264355418732</v>
      </c>
      <c r="J2">
        <v>110.29858697692485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0.60111470725492522</v>
      </c>
      <c r="T2">
        <f t="shared" si="2"/>
        <v>40.328792038462772</v>
      </c>
      <c r="U2">
        <f t="shared" si="2"/>
        <v>96.782316003685182</v>
      </c>
      <c r="V2">
        <f t="shared" si="2"/>
        <v>111.29348146990692</v>
      </c>
      <c r="W2">
        <f t="shared" si="2"/>
        <v>107.38911208777182</v>
      </c>
      <c r="X2">
        <f t="shared" si="2"/>
        <v>112.4288756092176</v>
      </c>
      <c r="Y2">
        <f t="shared" si="2"/>
        <v>103.52522732957019</v>
      </c>
      <c r="Z2">
        <f t="shared" si="2"/>
        <v>102.57682791653427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1.1093832587191474</v>
      </c>
      <c r="F3">
        <v>88.352962001055943</v>
      </c>
      <c r="G3">
        <v>97.381226921069384</v>
      </c>
      <c r="H3">
        <v>116.21078454081982</v>
      </c>
      <c r="I3">
        <v>117.80849685778318</v>
      </c>
      <c r="J3">
        <v>125.15523940449698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0.4678065108572968</v>
      </c>
      <c r="T3">
        <f t="shared" si="3"/>
        <v>40.43700934928296</v>
      </c>
      <c r="U3">
        <f t="shared" si="3"/>
        <v>7.5665705316462297</v>
      </c>
      <c r="V3">
        <f t="shared" si="3"/>
        <v>15.51157863591996</v>
      </c>
      <c r="W3">
        <f t="shared" si="3"/>
        <v>10.691850855804063</v>
      </c>
      <c r="X3">
        <f t="shared" si="3"/>
        <v>9.6540194149169576</v>
      </c>
      <c r="Y3">
        <f t="shared" si="3"/>
        <v>5.0596425291356812</v>
      </c>
      <c r="Z3">
        <f t="shared" si="3"/>
        <v>5.2633924769962412</v>
      </c>
      <c r="AA3" t="e">
        <f t="shared" si="3"/>
        <v>#DIV/0!</v>
      </c>
      <c r="AB3" t="e">
        <f t="shared" si="3"/>
        <v>#DIV/0!</v>
      </c>
    </row>
    <row r="4" spans="1:28">
      <c r="A4" s="1"/>
    </row>
    <row r="5" spans="1:28">
      <c r="A5" s="1"/>
      <c r="E5">
        <v>4.7509650785459816E-2</v>
      </c>
      <c r="F5">
        <v>1.2726580286694278</v>
      </c>
      <c r="G5">
        <v>98.600277530877662</v>
      </c>
      <c r="H5">
        <v>113.1727994049911</v>
      </c>
      <c r="I5">
        <v>108.82396732159287</v>
      </c>
      <c r="J5">
        <v>110.50534297925407</v>
      </c>
      <c r="K5">
        <v>97.678957037909711</v>
      </c>
      <c r="L5">
        <v>98.855047404003969</v>
      </c>
    </row>
    <row r="6" spans="1:28">
      <c r="A6" s="1"/>
      <c r="E6">
        <v>5.0982941182308048E-2</v>
      </c>
      <c r="F6">
        <v>1.8632222921295374</v>
      </c>
      <c r="G6">
        <v>108.54269704464944</v>
      </c>
      <c r="H6">
        <v>121.56176672886616</v>
      </c>
      <c r="I6">
        <v>120.81529062389617</v>
      </c>
      <c r="J6">
        <v>122.82561733319915</v>
      </c>
      <c r="K6">
        <v>107.80718477244788</v>
      </c>
      <c r="L6">
        <v>106.29860842906457</v>
      </c>
    </row>
    <row r="7" spans="1:28">
      <c r="A7" s="1"/>
    </row>
    <row r="8" spans="1:28">
      <c r="A8" s="1"/>
      <c r="E8">
        <v>0.62824163463995297</v>
      </c>
      <c r="F8">
        <v>41.930727520128407</v>
      </c>
      <c r="G8">
        <v>85.004896213258576</v>
      </c>
      <c r="H8">
        <v>94.898878477790717</v>
      </c>
      <c r="I8">
        <v>93.313199172475521</v>
      </c>
      <c r="J8">
        <v>104.61047529356681</v>
      </c>
      <c r="K8">
        <v>100.91162357708552</v>
      </c>
    </row>
    <row r="9" spans="1:28">
      <c r="A9" s="1"/>
      <c r="E9">
        <v>0.70568525752638744</v>
      </c>
      <c r="F9">
        <v>19.114056691057467</v>
      </c>
      <c r="G9">
        <v>94.418893758662122</v>
      </c>
      <c r="H9">
        <v>90.947229028782928</v>
      </c>
      <c r="I9">
        <v>98.64107499669592</v>
      </c>
      <c r="J9">
        <v>101.17799166786381</v>
      </c>
      <c r="K9">
        <v>107.70314393083763</v>
      </c>
    </row>
    <row r="10" spans="1:28">
      <c r="A10" s="1"/>
    </row>
    <row r="11" spans="1:28">
      <c r="A11" s="1"/>
    </row>
    <row r="12" spans="1:28">
      <c r="A12" s="1"/>
    </row>
    <row r="13" spans="1:28">
      <c r="A13" s="1"/>
    </row>
    <row r="14" spans="1:28">
      <c r="A14" s="1"/>
    </row>
    <row r="15" spans="1:28">
      <c r="A15" s="1"/>
    </row>
    <row r="16" spans="1:28">
      <c r="A16" s="1"/>
    </row>
    <row r="17" spans="1:1">
      <c r="A17" s="1"/>
    </row>
    <row r="18" spans="1:1">
      <c r="A18" s="1"/>
    </row>
    <row r="19" spans="1:1">
      <c r="A19" s="1"/>
    </row>
    <row r="20" spans="1:1">
      <c r="A20" s="1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3"/>
    </row>
    <row r="27" spans="1:1">
      <c r="A2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1D3E2-4FC2-467B-B98E-9E7B06364D68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23.339843414413433</v>
      </c>
      <c r="F2">
        <v>110.23362545346922</v>
      </c>
      <c r="G2">
        <v>108.85081372140533</v>
      </c>
      <c r="H2">
        <v>113.37263403878224</v>
      </c>
      <c r="I2">
        <v>113.0711135792359</v>
      </c>
      <c r="J2">
        <v>113.88971794417229</v>
      </c>
      <c r="K2">
        <v>111.22466365957722</v>
      </c>
      <c r="L2">
        <v>117.84166145485131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38.882897151422611</v>
      </c>
      <c r="T2">
        <f t="shared" si="2"/>
        <v>119.07074067263062</v>
      </c>
      <c r="U2">
        <f t="shared" si="2"/>
        <v>122.68489580686283</v>
      </c>
      <c r="V2">
        <f t="shared" si="2"/>
        <v>119.96880453343122</v>
      </c>
      <c r="W2">
        <f t="shared" si="2"/>
        <v>117.93373085238807</v>
      </c>
      <c r="X2">
        <f t="shared" si="2"/>
        <v>110.371175833709</v>
      </c>
      <c r="Y2">
        <f t="shared" si="2"/>
        <v>106.95321144781461</v>
      </c>
      <c r="Z2">
        <f t="shared" si="2"/>
        <v>106.11925936703123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23.248435003235947</v>
      </c>
      <c r="F3">
        <v>113.85447063136731</v>
      </c>
      <c r="G3">
        <v>114.76683143881228</v>
      </c>
      <c r="H3">
        <v>116.22762528178311</v>
      </c>
      <c r="I3">
        <v>113.83903985096305</v>
      </c>
      <c r="J3">
        <v>112.64897749432814</v>
      </c>
      <c r="K3">
        <v>114.65345941925872</v>
      </c>
      <c r="L3">
        <v>121.59121087672492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34.681397289330377</v>
      </c>
      <c r="T3">
        <f t="shared" si="3"/>
        <v>7.8889301341359683</v>
      </c>
      <c r="U3">
        <f t="shared" si="3"/>
        <v>14.37501648252219</v>
      </c>
      <c r="V3">
        <f t="shared" si="3"/>
        <v>10.575624839271661</v>
      </c>
      <c r="W3">
        <f t="shared" si="3"/>
        <v>10.178934708942814</v>
      </c>
      <c r="X3">
        <f t="shared" si="3"/>
        <v>7.0168420216745346</v>
      </c>
      <c r="Y3">
        <f t="shared" si="3"/>
        <v>7.2681617972207668</v>
      </c>
      <c r="Z3">
        <f t="shared" si="3"/>
        <v>11.200536509948424</v>
      </c>
      <c r="AA3" t="e">
        <f t="shared" si="3"/>
        <v>#DIV/0!</v>
      </c>
      <c r="AB3" t="e">
        <f t="shared" si="3"/>
        <v>#DIV/0!</v>
      </c>
    </row>
    <row r="5" spans="1:28">
      <c r="E5">
        <v>61.358892209649852</v>
      </c>
      <c r="F5">
        <v>119.59943940852598</v>
      </c>
      <c r="G5">
        <v>118.81661802785585</v>
      </c>
      <c r="H5">
        <v>115.10747046587804</v>
      </c>
      <c r="I5">
        <v>112.22820903527533</v>
      </c>
      <c r="J5">
        <v>98.927050543276749</v>
      </c>
      <c r="K5">
        <v>97.78831705484599</v>
      </c>
      <c r="L5">
        <v>93.003250109155829</v>
      </c>
    </row>
    <row r="6" spans="1:28">
      <c r="E6">
        <v>99.448440340655807</v>
      </c>
      <c r="F6">
        <v>125.53033765292545</v>
      </c>
      <c r="G6">
        <v>113.19280833282738</v>
      </c>
      <c r="H6">
        <v>108.70753847339074</v>
      </c>
      <c r="I6">
        <v>107.87990268498966</v>
      </c>
      <c r="J6">
        <v>104.6471520134595</v>
      </c>
      <c r="K6">
        <v>97.859336861896367</v>
      </c>
      <c r="L6">
        <v>99.485345307875079</v>
      </c>
    </row>
    <row r="8" spans="1:28">
      <c r="E8">
        <v>15.150872345947922</v>
      </c>
      <c r="F8">
        <v>114.26936817460778</v>
      </c>
      <c r="G8">
        <v>134.87363886934949</v>
      </c>
      <c r="H8">
        <v>132.42413101401732</v>
      </c>
      <c r="I8">
        <v>125.90156000306349</v>
      </c>
      <c r="J8">
        <v>115.72510704486973</v>
      </c>
      <c r="K8">
        <v>109.83761702217905</v>
      </c>
      <c r="L8">
        <v>104.22950304340431</v>
      </c>
    </row>
    <row r="9" spans="1:28">
      <c r="E9">
        <v>10.750899594632699</v>
      </c>
      <c r="F9">
        <v>130.93720271488803</v>
      </c>
      <c r="G9">
        <v>145.6086644509266</v>
      </c>
      <c r="H9">
        <v>133.97342792673589</v>
      </c>
      <c r="I9">
        <v>134.68255996080094</v>
      </c>
      <c r="J9">
        <v>116.3890499621475</v>
      </c>
      <c r="K9">
        <v>110.35587466913026</v>
      </c>
      <c r="L9">
        <v>100.56458541017597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5594-2BBF-4595-B53D-F742974B90F6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0.66597556715024542</v>
      </c>
      <c r="F2">
        <v>0.78505814533153395</v>
      </c>
      <c r="G2">
        <v>1.0928299012866833</v>
      </c>
      <c r="H2">
        <v>104.99660442890932</v>
      </c>
      <c r="I2">
        <v>111.9587345870616</v>
      </c>
      <c r="J2">
        <v>112.82479954939286</v>
      </c>
      <c r="K2">
        <v>112.20945091835959</v>
      </c>
      <c r="L2">
        <v>118.27446292627772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0.28834826232911753</v>
      </c>
      <c r="T2">
        <f t="shared" si="2"/>
        <v>0.30125635804427126</v>
      </c>
      <c r="U2">
        <f t="shared" si="2"/>
        <v>0.87764444234164307</v>
      </c>
      <c r="V2">
        <f t="shared" si="2"/>
        <v>111.8785964307375</v>
      </c>
      <c r="W2">
        <f t="shared" si="2"/>
        <v>113.54255470106487</v>
      </c>
      <c r="X2">
        <f t="shared" si="2"/>
        <v>110.73585664973996</v>
      </c>
      <c r="Y2">
        <f t="shared" si="2"/>
        <v>105.42109974236628</v>
      </c>
      <c r="Z2">
        <f t="shared" si="2"/>
        <v>111.60682439837484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0.49392615162570663</v>
      </c>
      <c r="F3">
        <v>0.49898295717272301</v>
      </c>
      <c r="G3">
        <v>0.89865045939934785</v>
      </c>
      <c r="H3">
        <v>104.49016516895892</v>
      </c>
      <c r="I3">
        <v>118.81551449969075</v>
      </c>
      <c r="J3">
        <v>117.77418478931648</v>
      </c>
      <c r="K3">
        <v>111.52836587943551</v>
      </c>
      <c r="L3">
        <v>117.97229060055517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0.2912265266719532</v>
      </c>
      <c r="T3">
        <f t="shared" si="3"/>
        <v>0.31821130769730332</v>
      </c>
      <c r="U3">
        <f t="shared" si="3"/>
        <v>0.34810894664876546</v>
      </c>
      <c r="V3">
        <f t="shared" si="3"/>
        <v>8.5874964807633933</v>
      </c>
      <c r="W3">
        <f t="shared" si="3"/>
        <v>6.2196923263124706</v>
      </c>
      <c r="X3">
        <f t="shared" si="3"/>
        <v>5.1710371970567044</v>
      </c>
      <c r="Y3">
        <f t="shared" si="3"/>
        <v>8.6838519050184519</v>
      </c>
      <c r="Z3">
        <f t="shared" si="3"/>
        <v>8.6751857888351136</v>
      </c>
      <c r="AA3" t="e">
        <f t="shared" si="3"/>
        <v>#DIV/0!</v>
      </c>
      <c r="AB3" t="e">
        <f t="shared" si="3"/>
        <v>#DIV/0!</v>
      </c>
    </row>
    <row r="5" spans="1:28">
      <c r="E5">
        <v>4.8503137925286752E-2</v>
      </c>
      <c r="F5">
        <v>5.3983633865890723E-2</v>
      </c>
      <c r="G5">
        <v>0.69604289725019286</v>
      </c>
      <c r="H5">
        <v>109.18752274665341</v>
      </c>
      <c r="I5">
        <v>108.25232684059594</v>
      </c>
      <c r="J5">
        <v>103.48957132218482</v>
      </c>
      <c r="K5">
        <v>95.751450299217652</v>
      </c>
      <c r="L5">
        <v>99.813276315826073</v>
      </c>
    </row>
    <row r="6" spans="1:28">
      <c r="E6">
        <v>-9.0610257662623612E-3</v>
      </c>
      <c r="F6">
        <v>-9.2282605168366727E-3</v>
      </c>
      <c r="G6">
        <v>0.27406118057033252</v>
      </c>
      <c r="H6">
        <v>107.16376793498907</v>
      </c>
      <c r="I6">
        <v>104.93357280585545</v>
      </c>
      <c r="J6">
        <v>108.69427099891288</v>
      </c>
      <c r="K6">
        <v>93.830738306962559</v>
      </c>
      <c r="L6">
        <v>102.05335796717074</v>
      </c>
    </row>
    <row r="8" spans="1:28">
      <c r="E8">
        <v>0.48004249415144923</v>
      </c>
      <c r="F8">
        <v>0.42366417606804929</v>
      </c>
      <c r="G8">
        <v>1.2268553816959322</v>
      </c>
      <c r="H8">
        <v>121.62778694667607</v>
      </c>
      <c r="I8">
        <v>120.75548281533817</v>
      </c>
      <c r="J8">
        <v>114.21518323293121</v>
      </c>
      <c r="K8">
        <v>113.53050098681028</v>
      </c>
      <c r="L8">
        <v>119.39700331792433</v>
      </c>
    </row>
    <row r="9" spans="1:28">
      <c r="E9">
        <v>5.0703248888279526E-2</v>
      </c>
      <c r="F9">
        <v>5.5077496344267229E-2</v>
      </c>
      <c r="G9">
        <v>1.0774268338473698</v>
      </c>
      <c r="H9">
        <v>123.80573135823818</v>
      </c>
      <c r="I9">
        <v>116.53969665784732</v>
      </c>
      <c r="J9">
        <v>107.41713000570161</v>
      </c>
      <c r="K9">
        <v>105.67609206341211</v>
      </c>
      <c r="L9">
        <v>112.13055526249495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D2A0-87FD-4705-81EA-9D406F569871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0.35028436263251644</v>
      </c>
      <c r="F2">
        <v>0.37965411908232982</v>
      </c>
      <c r="G2">
        <v>0.51003075703248435</v>
      </c>
      <c r="H2">
        <v>0.8943108469700537</v>
      </c>
      <c r="I2">
        <v>90.508484115147596</v>
      </c>
      <c r="J2">
        <v>112.07606912600619</v>
      </c>
      <c r="K2">
        <v>107.5455841144628</v>
      </c>
      <c r="L2">
        <v>111.32314384918496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0.25396267686306534</v>
      </c>
      <c r="T2">
        <f t="shared" si="2"/>
        <v>0.37166299905493044</v>
      </c>
      <c r="U2">
        <f t="shared" si="2"/>
        <v>0.48374913070046088</v>
      </c>
      <c r="V2">
        <f t="shared" si="2"/>
        <v>0.46034224108077287</v>
      </c>
      <c r="W2">
        <f t="shared" si="2"/>
        <v>91.928047471631103</v>
      </c>
      <c r="X2">
        <f t="shared" si="2"/>
        <v>108.37810084763157</v>
      </c>
      <c r="Y2">
        <f t="shared" si="2"/>
        <v>103.41055960004337</v>
      </c>
      <c r="Z2">
        <f t="shared" si="2"/>
        <v>106.35489006197288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0.28911632808517707</v>
      </c>
      <c r="F3">
        <v>0.28152185091588811</v>
      </c>
      <c r="G3">
        <v>0.33541270955958824</v>
      </c>
      <c r="H3">
        <v>0.57336467201001784</v>
      </c>
      <c r="I3">
        <v>76.573826761759662</v>
      </c>
      <c r="J3">
        <v>104.99191016581355</v>
      </c>
      <c r="K3">
        <v>106.09925697720738</v>
      </c>
      <c r="L3">
        <v>114.07744706284679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0.35433035254177697</v>
      </c>
      <c r="T3">
        <f t="shared" si="3"/>
        <v>0.3924495391060604</v>
      </c>
      <c r="U3">
        <f t="shared" si="3"/>
        <v>0.48859504159036676</v>
      </c>
      <c r="V3">
        <f t="shared" si="3"/>
        <v>0.42986130068567802</v>
      </c>
      <c r="W3">
        <f t="shared" si="3"/>
        <v>8.4666379035402368</v>
      </c>
      <c r="X3">
        <f t="shared" si="3"/>
        <v>3.5844598437577737</v>
      </c>
      <c r="Y3">
        <f t="shared" si="3"/>
        <v>3.8790143174487985</v>
      </c>
      <c r="Z3">
        <f t="shared" si="3"/>
        <v>5.7785721222832729</v>
      </c>
      <c r="AA3" t="e">
        <f t="shared" si="3"/>
        <v>#DIV/0!</v>
      </c>
      <c r="AB3" t="e">
        <f t="shared" si="3"/>
        <v>#DIV/0!</v>
      </c>
    </row>
    <row r="5" spans="1:28">
      <c r="E5">
        <v>-3.6195648381807395E-2</v>
      </c>
      <c r="F5">
        <v>-2.28847339556719E-2</v>
      </c>
      <c r="G5">
        <v>-1.3822421086943324E-2</v>
      </c>
      <c r="H5">
        <v>8.0493266990587873E-3</v>
      </c>
      <c r="I5">
        <v>98.736809873927839</v>
      </c>
      <c r="J5">
        <v>104.7195129314829</v>
      </c>
      <c r="K5">
        <v>97.411444841906174</v>
      </c>
      <c r="L5">
        <v>97.587517022284473</v>
      </c>
    </row>
    <row r="6" spans="1:28">
      <c r="E6">
        <v>-2.7183077298787085E-2</v>
      </c>
      <c r="F6">
        <v>-1.2135331595400608E-2</v>
      </c>
      <c r="G6">
        <v>-1.4293974898011753E-2</v>
      </c>
      <c r="H6">
        <v>-6.1100499695825776E-4</v>
      </c>
      <c r="I6">
        <v>93.553491463991477</v>
      </c>
      <c r="J6">
        <v>106.35883691949095</v>
      </c>
      <c r="K6">
        <v>100.63826715408682</v>
      </c>
      <c r="L6">
        <v>105.68887296485785</v>
      </c>
    </row>
    <row r="8" spans="1:28">
      <c r="E8">
        <v>0.89653346716231685</v>
      </c>
      <c r="F8">
        <v>1.0125031683978591</v>
      </c>
      <c r="G8">
        <v>0.88334461972511491</v>
      </c>
      <c r="H8">
        <v>0.98892796612737377</v>
      </c>
      <c r="I8">
        <v>100.39184036683038</v>
      </c>
      <c r="J8">
        <v>109.15845087579675</v>
      </c>
      <c r="K8">
        <v>106.01757657775875</v>
      </c>
      <c r="L8">
        <v>104.62072098646347</v>
      </c>
    </row>
    <row r="9" spans="1:28">
      <c r="E9">
        <v>5.1220628978976258E-2</v>
      </c>
      <c r="F9">
        <v>0.59131892148457788</v>
      </c>
      <c r="G9">
        <v>1.2018230938705328</v>
      </c>
      <c r="H9">
        <v>0.29801163967509103</v>
      </c>
      <c r="I9">
        <v>91.803832248129666</v>
      </c>
      <c r="J9">
        <v>112.96382506719902</v>
      </c>
      <c r="K9">
        <v>102.75122793483827</v>
      </c>
      <c r="L9">
        <v>104.83163848619972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D239-7663-412C-9EA4-D91433A56441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33.8085119787401</v>
      </c>
      <c r="F2">
        <v>68.84944233394647</v>
      </c>
      <c r="G2">
        <v>91.659477854219361</v>
      </c>
      <c r="H2">
        <v>97.19776027884356</v>
      </c>
      <c r="I2">
        <v>92.770110830160917</v>
      </c>
      <c r="J2">
        <v>94.02721146445073</v>
      </c>
      <c r="K2">
        <v>91.398480798145087</v>
      </c>
      <c r="L2">
        <v>99.631095898429678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37.205329807184597</v>
      </c>
      <c r="T2">
        <f t="shared" si="2"/>
        <v>79.618626401689639</v>
      </c>
      <c r="U2">
        <f t="shared" si="2"/>
        <v>100.54401582120505</v>
      </c>
      <c r="V2">
        <f t="shared" si="2"/>
        <v>105.02861924244523</v>
      </c>
      <c r="W2">
        <f t="shared" si="2"/>
        <v>99.884533379062248</v>
      </c>
      <c r="X2">
        <f t="shared" si="2"/>
        <v>100.68153314065059</v>
      </c>
      <c r="Y2">
        <f t="shared" si="2"/>
        <v>100.60822908242572</v>
      </c>
      <c r="Z2">
        <f t="shared" si="2"/>
        <v>98.059864724918938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33.157885693667275</v>
      </c>
      <c r="F3">
        <v>79.402664958380143</v>
      </c>
      <c r="G3">
        <v>96.103044209403421</v>
      </c>
      <c r="H3">
        <v>100.28791484819763</v>
      </c>
      <c r="I3">
        <v>95.528603990207401</v>
      </c>
      <c r="J3">
        <v>97.88194452236317</v>
      </c>
      <c r="K3">
        <v>100.86183275885492</v>
      </c>
      <c r="L3">
        <v>98.251109885607065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16.506597194489256</v>
      </c>
      <c r="T3">
        <f t="shared" si="3"/>
        <v>8.4232438920606985</v>
      </c>
      <c r="U3">
        <f t="shared" si="3"/>
        <v>5.8766121339889095</v>
      </c>
      <c r="V3">
        <f t="shared" si="3"/>
        <v>5.0922568085968063</v>
      </c>
      <c r="W3">
        <f t="shared" si="3"/>
        <v>8.6313309651840839</v>
      </c>
      <c r="X3">
        <f t="shared" si="3"/>
        <v>6.6466245090403424</v>
      </c>
      <c r="Y3">
        <f t="shared" si="3"/>
        <v>5.1055684094956675</v>
      </c>
      <c r="Z3">
        <f t="shared" si="3"/>
        <v>3.0433979996574752</v>
      </c>
      <c r="AA3" t="e">
        <f t="shared" si="3"/>
        <v>#DIV/0!</v>
      </c>
      <c r="AB3" t="e">
        <f t="shared" si="3"/>
        <v>#DIV/0!</v>
      </c>
    </row>
    <row r="5" spans="1:28">
      <c r="E5">
        <v>23.717743717365771</v>
      </c>
      <c r="F5">
        <v>92.237410354040691</v>
      </c>
      <c r="G5">
        <v>104.8254985650028</v>
      </c>
      <c r="H5">
        <v>106.80678162415755</v>
      </c>
      <c r="I5">
        <v>112.00240070954082</v>
      </c>
      <c r="J5">
        <v>106.0435916331961</v>
      </c>
      <c r="K5">
        <v>104.2143480568607</v>
      </c>
      <c r="L5">
        <v>102.09604693654499</v>
      </c>
    </row>
    <row r="6" spans="1:28">
      <c r="E6">
        <v>18.305743236695314</v>
      </c>
      <c r="F6">
        <v>86.160009248542408</v>
      </c>
      <c r="G6">
        <v>103.94905686290573</v>
      </c>
      <c r="H6">
        <v>108.20268895329531</v>
      </c>
      <c r="I6">
        <v>109.81388516739014</v>
      </c>
      <c r="J6">
        <v>108.23100592588388</v>
      </c>
      <c r="K6">
        <v>105.32763025593295</v>
      </c>
      <c r="L6">
        <v>99.416468208537239</v>
      </c>
    </row>
    <row r="8" spans="1:28">
      <c r="E8">
        <v>56.111681666377798</v>
      </c>
      <c r="F8">
        <v>74.24769474725052</v>
      </c>
      <c r="G8">
        <v>107.11791464645719</v>
      </c>
      <c r="H8">
        <v>107.49756075882118</v>
      </c>
      <c r="I8">
        <v>95.473723526104209</v>
      </c>
      <c r="J8">
        <v>105.15943721366723</v>
      </c>
      <c r="K8">
        <v>98.690305931067755</v>
      </c>
      <c r="L8">
        <v>94.28731373009191</v>
      </c>
    </row>
    <row r="9" spans="1:28">
      <c r="E9">
        <v>58.130412550261326</v>
      </c>
      <c r="F9">
        <v>76.814536767977543</v>
      </c>
      <c r="G9">
        <v>99.609102789241803</v>
      </c>
      <c r="H9">
        <v>110.17900899135608</v>
      </c>
      <c r="I9">
        <v>93.718476050969926</v>
      </c>
      <c r="J9">
        <v>92.746008084342435</v>
      </c>
      <c r="K9">
        <v>103.15677669369295</v>
      </c>
      <c r="L9">
        <v>94.67715369030266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6B93-2DB0-4C3E-AEC5-64EC16C41199}">
  <dimension ref="A1:AB9"/>
  <sheetViews>
    <sheetView workbookViewId="0">
      <selection activeCell="AA16" sqref="AA1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0.84741782693111734</v>
      </c>
      <c r="F2">
        <v>55.920633761739566</v>
      </c>
      <c r="G2">
        <v>92.978828702825254</v>
      </c>
      <c r="H2">
        <v>103.64416879993985</v>
      </c>
      <c r="I2">
        <v>103.14630396717878</v>
      </c>
      <c r="J2">
        <v>101.37414978198962</v>
      </c>
      <c r="K2">
        <v>94.137672199619161</v>
      </c>
      <c r="L2">
        <v>104.33768866514883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0.43118839585396462</v>
      </c>
      <c r="T2">
        <f t="shared" si="2"/>
        <v>53.226460013871339</v>
      </c>
      <c r="U2">
        <f t="shared" si="2"/>
        <v>104.02681376853663</v>
      </c>
      <c r="V2">
        <f t="shared" si="2"/>
        <v>108.41017170828262</v>
      </c>
      <c r="W2">
        <f t="shared" si="2"/>
        <v>104.03222388172442</v>
      </c>
      <c r="X2">
        <f t="shared" si="2"/>
        <v>104.51283882686728</v>
      </c>
      <c r="Y2">
        <f t="shared" si="2"/>
        <v>103.76100961879028</v>
      </c>
      <c r="Z2">
        <f t="shared" si="2"/>
        <v>105.14382730757548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0.94065898820739868</v>
      </c>
      <c r="F3">
        <v>50.905054282845462</v>
      </c>
      <c r="G3">
        <v>97.280118515968297</v>
      </c>
      <c r="H3">
        <v>109.71121006814559</v>
      </c>
      <c r="I3">
        <v>107.99299149549795</v>
      </c>
      <c r="J3">
        <v>109.1408394128643</v>
      </c>
      <c r="K3">
        <v>106.03041166732288</v>
      </c>
      <c r="L3">
        <v>115.96651703878516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0.40517711544172968</v>
      </c>
      <c r="T3">
        <f t="shared" si="3"/>
        <v>5.0686416990866414</v>
      </c>
      <c r="U3">
        <f t="shared" si="3"/>
        <v>9.5954018436220316</v>
      </c>
      <c r="V3">
        <f t="shared" si="3"/>
        <v>3.3382058581487777</v>
      </c>
      <c r="W3">
        <f t="shared" si="3"/>
        <v>3.1559984263308767</v>
      </c>
      <c r="X3">
        <f t="shared" si="3"/>
        <v>3.5941110454821263</v>
      </c>
      <c r="Y3">
        <f t="shared" si="3"/>
        <v>6.8325480480767284</v>
      </c>
      <c r="Z3">
        <f t="shared" si="3"/>
        <v>5.6887033639405589</v>
      </c>
      <c r="AA3" t="e">
        <f t="shared" si="3"/>
        <v>#DIV/0!</v>
      </c>
      <c r="AB3" t="e">
        <f t="shared" si="3"/>
        <v>#DIV/0!</v>
      </c>
    </row>
    <row r="5" spans="1:28">
      <c r="E5">
        <v>-1.0175483480829388E-3</v>
      </c>
      <c r="F5">
        <v>47.376097926379437</v>
      </c>
      <c r="G5">
        <v>103.46365115863718</v>
      </c>
      <c r="H5">
        <v>108.63081749812049</v>
      </c>
      <c r="I5">
        <v>103.68175288699784</v>
      </c>
      <c r="J5">
        <v>106.73397881018185</v>
      </c>
      <c r="K5">
        <v>101.83878223458215</v>
      </c>
      <c r="L5">
        <v>103.17652746323695</v>
      </c>
    </row>
    <row r="6" spans="1:28">
      <c r="E6">
        <v>8.4795695673578232E-3</v>
      </c>
      <c r="F6">
        <v>54.160593367010293</v>
      </c>
      <c r="G6">
        <v>100.48048386136554</v>
      </c>
      <c r="H6">
        <v>105.2649237970507</v>
      </c>
      <c r="I6">
        <v>101.89139407467582</v>
      </c>
      <c r="J6">
        <v>100.99641760106582</v>
      </c>
      <c r="K6">
        <v>102.0345072159862</v>
      </c>
      <c r="L6">
        <v>99.930960673308405</v>
      </c>
    </row>
    <row r="8" spans="1:28">
      <c r="E8">
        <v>0.29568272183318112</v>
      </c>
      <c r="F8">
        <v>49.565767288638668</v>
      </c>
      <c r="G8">
        <v>119.45063419683794</v>
      </c>
      <c r="H8">
        <v>112.29635113760553</v>
      </c>
      <c r="I8">
        <v>107.51224380472813</v>
      </c>
      <c r="J8">
        <v>107.24433103574546</v>
      </c>
      <c r="K8">
        <v>115.11275527944602</v>
      </c>
      <c r="L8">
        <v>105.84217359569553</v>
      </c>
    </row>
    <row r="9" spans="1:28">
      <c r="E9">
        <v>0.49590881693281563</v>
      </c>
      <c r="F9">
        <v>61.430613456614644</v>
      </c>
      <c r="G9">
        <v>110.50716617558565</v>
      </c>
      <c r="H9">
        <v>110.9135589488335</v>
      </c>
      <c r="I9">
        <v>99.968657061268047</v>
      </c>
      <c r="J9">
        <v>101.58731631935663</v>
      </c>
      <c r="K9">
        <v>103.4119291157853</v>
      </c>
      <c r="L9">
        <v>101.60909640927814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AA5F9-DC81-466F-B3A5-ABB33775D4EF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1.1255376544235143</v>
      </c>
      <c r="F2">
        <v>41.811725785470301</v>
      </c>
      <c r="G2">
        <v>103.5788875174178</v>
      </c>
      <c r="H2">
        <v>119.50364268978531</v>
      </c>
      <c r="I2">
        <v>111.77657319505454</v>
      </c>
      <c r="J2">
        <v>112.58850009312846</v>
      </c>
      <c r="K2">
        <v>113.76652920629877</v>
      </c>
      <c r="L2">
        <v>110.79187757830817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0.89400442885304976</v>
      </c>
      <c r="T2">
        <f t="shared" si="2"/>
        <v>49.754780098167281</v>
      </c>
      <c r="U2">
        <f t="shared" si="2"/>
        <v>103.37310010531013</v>
      </c>
      <c r="V2">
        <f t="shared" si="2"/>
        <v>115.38591589150734</v>
      </c>
      <c r="W2">
        <f t="shared" si="2"/>
        <v>106.77826045317374</v>
      </c>
      <c r="X2">
        <f t="shared" si="2"/>
        <v>105.81112056836442</v>
      </c>
      <c r="Y2">
        <f t="shared" si="2"/>
        <v>107.49503032062471</v>
      </c>
      <c r="Z2">
        <f t="shared" si="2"/>
        <v>104.8515782386033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1.3065217266796869</v>
      </c>
      <c r="F3">
        <v>38.56158506379775</v>
      </c>
      <c r="G3">
        <v>98.507400401530219</v>
      </c>
      <c r="H3">
        <v>117.91259270032329</v>
      </c>
      <c r="I3">
        <v>108.47641980505516</v>
      </c>
      <c r="J3">
        <v>105.32436756795573</v>
      </c>
      <c r="K3">
        <v>108.93480878733246</v>
      </c>
      <c r="L3">
        <v>105.45407492074446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0.67008728641044302</v>
      </c>
      <c r="T3">
        <f t="shared" si="3"/>
        <v>13.499895640851181</v>
      </c>
      <c r="U3">
        <f t="shared" si="3"/>
        <v>2.7436069481137642</v>
      </c>
      <c r="V3">
        <f t="shared" si="3"/>
        <v>9.4448082925609391</v>
      </c>
      <c r="W3">
        <f t="shared" si="3"/>
        <v>4.0623792282105251</v>
      </c>
      <c r="X3">
        <f t="shared" si="3"/>
        <v>4.5937558230356013</v>
      </c>
      <c r="Y3">
        <f t="shared" si="3"/>
        <v>3.5441498547324697</v>
      </c>
      <c r="Z3">
        <f t="shared" si="3"/>
        <v>3.5428250611609511</v>
      </c>
      <c r="AA3" t="e">
        <f t="shared" si="3"/>
        <v>#DIV/0!</v>
      </c>
      <c r="AB3" t="e">
        <f t="shared" si="3"/>
        <v>#DIV/0!</v>
      </c>
    </row>
    <row r="5" spans="1:28">
      <c r="E5">
        <v>7.0259290700964826E-3</v>
      </c>
      <c r="F5">
        <v>40.683073815267122</v>
      </c>
      <c r="G5">
        <v>104.86410703328404</v>
      </c>
      <c r="H5">
        <v>104.02676201886678</v>
      </c>
      <c r="I5">
        <v>107.75433171233078</v>
      </c>
      <c r="J5">
        <v>108.42316005269932</v>
      </c>
      <c r="K5">
        <v>106.08927096299121</v>
      </c>
      <c r="L5">
        <v>101.21005383167105</v>
      </c>
    </row>
    <row r="6" spans="1:28">
      <c r="E6">
        <v>8.116159443042488E-2</v>
      </c>
      <c r="F6">
        <v>43.552488182418038</v>
      </c>
      <c r="G6">
        <v>102.84892182168311</v>
      </c>
      <c r="H6">
        <v>103.70287623960959</v>
      </c>
      <c r="I6">
        <v>108.94630843532234</v>
      </c>
      <c r="J6">
        <v>106.39656935529671</v>
      </c>
      <c r="K6">
        <v>104.71008499949539</v>
      </c>
      <c r="L6">
        <v>104.96227982271795</v>
      </c>
    </row>
    <row r="8" spans="1:28">
      <c r="E8">
        <v>1.5128193851972382</v>
      </c>
      <c r="F8">
        <v>64.717211659934819</v>
      </c>
      <c r="G8">
        <v>106.7365821744969</v>
      </c>
      <c r="H8">
        <v>126.95487757332369</v>
      </c>
      <c r="I8">
        <v>101.3213161803148</v>
      </c>
      <c r="J8">
        <v>102.95987845009955</v>
      </c>
      <c r="K8">
        <v>104.0808040106868</v>
      </c>
      <c r="L8">
        <v>101.18932838407827</v>
      </c>
    </row>
    <row r="9" spans="1:28">
      <c r="E9">
        <v>1.3309602833173375</v>
      </c>
      <c r="F9">
        <v>69.202596082115647</v>
      </c>
      <c r="G9">
        <v>103.70270168344868</v>
      </c>
      <c r="H9">
        <v>120.21474412713546</v>
      </c>
      <c r="I9">
        <v>102.39461339096488</v>
      </c>
      <c r="J9">
        <v>99.174247891006715</v>
      </c>
      <c r="K9">
        <v>107.38868395694352</v>
      </c>
      <c r="L9">
        <v>105.50185489409986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8F04E-7C00-4C8B-8148-BC15B2579629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4.5543839955097623</v>
      </c>
      <c r="F2">
        <v>100.33890960133962</v>
      </c>
      <c r="G2">
        <v>103.49581679580446</v>
      </c>
      <c r="H2">
        <v>105.7550924322519</v>
      </c>
      <c r="I2">
        <v>102.1097298417918</v>
      </c>
      <c r="J2">
        <v>101.03720426102001</v>
      </c>
      <c r="K2">
        <v>100.81601263622278</v>
      </c>
      <c r="L2">
        <v>108.89307203396356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6.4874761684955624</v>
      </c>
      <c r="T2">
        <f t="shared" si="2"/>
        <v>102.33483924359035</v>
      </c>
      <c r="U2">
        <f t="shared" si="2"/>
        <v>102.05774382800723</v>
      </c>
      <c r="V2">
        <f t="shared" si="2"/>
        <v>106.83699794323657</v>
      </c>
      <c r="W2">
        <f t="shared" si="2"/>
        <v>101.36744849698317</v>
      </c>
      <c r="X2">
        <f t="shared" si="2"/>
        <v>100.15960282716276</v>
      </c>
      <c r="Y2">
        <f t="shared" si="2"/>
        <v>100.85810208614946</v>
      </c>
      <c r="Z2">
        <f t="shared" si="2"/>
        <v>100.96591386474559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3.790585391836244</v>
      </c>
      <c r="F3">
        <v>96.441880967913889</v>
      </c>
      <c r="G3">
        <v>94.538523884136566</v>
      </c>
      <c r="H3">
        <v>106.21395672156686</v>
      </c>
      <c r="I3">
        <v>98.513248336169312</v>
      </c>
      <c r="J3">
        <v>95.253589934047085</v>
      </c>
      <c r="K3">
        <v>94.748530417423609</v>
      </c>
      <c r="L3">
        <v>99.886931847940289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3.2117214494985049</v>
      </c>
      <c r="T3">
        <f t="shared" si="3"/>
        <v>10.33467512988628</v>
      </c>
      <c r="U3">
        <f t="shared" si="3"/>
        <v>7.8340113500446886</v>
      </c>
      <c r="V3">
        <f t="shared" si="3"/>
        <v>4.1896749919777347</v>
      </c>
      <c r="W3">
        <f t="shared" si="3"/>
        <v>10.328243277809189</v>
      </c>
      <c r="X3">
        <f t="shared" si="3"/>
        <v>11.309186781945586</v>
      </c>
      <c r="Y3">
        <f t="shared" si="3"/>
        <v>4.1807150003486901</v>
      </c>
      <c r="Z3">
        <f t="shared" si="3"/>
        <v>5.073027878384111</v>
      </c>
      <c r="AA3" t="e">
        <f t="shared" si="3"/>
        <v>#DIV/0!</v>
      </c>
      <c r="AB3" t="e">
        <f t="shared" si="3"/>
        <v>#DIV/0!</v>
      </c>
    </row>
    <row r="5" spans="1:28">
      <c r="E5">
        <v>5.1667713287824695</v>
      </c>
      <c r="F5">
        <v>115.47586049303926</v>
      </c>
      <c r="G5">
        <v>110.63191747336754</v>
      </c>
      <c r="H5">
        <v>105.88458912570498</v>
      </c>
      <c r="I5">
        <v>114.4334308029386</v>
      </c>
      <c r="J5">
        <v>113.50830901700941</v>
      </c>
      <c r="K5">
        <v>107.56461400734869</v>
      </c>
      <c r="L5">
        <v>103.04303752643148</v>
      </c>
    </row>
    <row r="6" spans="1:28">
      <c r="E6">
        <v>8.2659328689436506</v>
      </c>
      <c r="F6">
        <v>115.0047797657036</v>
      </c>
      <c r="G6">
        <v>111.63620920249051</v>
      </c>
      <c r="H6">
        <v>114.80781236302198</v>
      </c>
      <c r="I6">
        <v>112.02145079355819</v>
      </c>
      <c r="J6">
        <v>113.11119695482755</v>
      </c>
      <c r="K6">
        <v>102.39787632087496</v>
      </c>
      <c r="L6">
        <v>101.48597938507488</v>
      </c>
    </row>
    <row r="8" spans="1:28">
      <c r="E8">
        <v>12.24474837650439</v>
      </c>
      <c r="F8">
        <v>92.507009404410411</v>
      </c>
      <c r="G8">
        <v>98.272334894845258</v>
      </c>
      <c r="H8">
        <v>102.22440614830181</v>
      </c>
      <c r="I8">
        <v>88.694767188040686</v>
      </c>
      <c r="J8">
        <v>85.806585387307422</v>
      </c>
      <c r="K8">
        <v>99.300241721021862</v>
      </c>
      <c r="L8">
        <v>93.460997702644221</v>
      </c>
    </row>
    <row r="9" spans="1:28">
      <c r="E9">
        <v>4.9024350493968649</v>
      </c>
      <c r="F9">
        <v>94.240595229135366</v>
      </c>
      <c r="G9">
        <v>93.771660717399129</v>
      </c>
      <c r="H9">
        <v>106.13613086857188</v>
      </c>
      <c r="I9">
        <v>92.432064019400443</v>
      </c>
      <c r="J9">
        <v>92.240731408765114</v>
      </c>
      <c r="K9">
        <v>100.3213374140048</v>
      </c>
      <c r="L9">
        <v>99.025464692419149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D73B-CB36-4D06-B297-24D27597FCF2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0.71316888219426</v>
      </c>
      <c r="F2">
        <v>0.92731068126560789</v>
      </c>
      <c r="G2">
        <v>68.133510429157425</v>
      </c>
      <c r="H2">
        <v>97.883653314040401</v>
      </c>
      <c r="I2">
        <v>94.820058197463638</v>
      </c>
      <c r="J2">
        <v>91.39201249492281</v>
      </c>
      <c r="K2">
        <v>91.998862555749739</v>
      </c>
      <c r="L2">
        <v>97.123262771001563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0.22610060187008194</v>
      </c>
      <c r="T2">
        <f t="shared" si="2"/>
        <v>1.6043549949683058</v>
      </c>
      <c r="U2">
        <f t="shared" si="2"/>
        <v>87.285611230263726</v>
      </c>
      <c r="V2">
        <f t="shared" si="2"/>
        <v>102.13114590115289</v>
      </c>
      <c r="W2">
        <f t="shared" si="2"/>
        <v>98.263320033013102</v>
      </c>
      <c r="X2">
        <f t="shared" si="2"/>
        <v>96.114178144271193</v>
      </c>
      <c r="Y2">
        <f t="shared" si="2"/>
        <v>98.098184267080526</v>
      </c>
      <c r="Z2">
        <f t="shared" si="2"/>
        <v>96.876068510453123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0.51271184013837268</v>
      </c>
      <c r="F3">
        <v>0.72460866814100577</v>
      </c>
      <c r="G3">
        <v>62.021487539717782</v>
      </c>
      <c r="H3">
        <v>90.337350912243892</v>
      </c>
      <c r="I3">
        <v>87.324449998363306</v>
      </c>
      <c r="J3">
        <v>92.81923428204685</v>
      </c>
      <c r="K3">
        <v>87.706161770360609</v>
      </c>
      <c r="L3">
        <v>91.803452429732928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0.307334041355318</v>
      </c>
      <c r="T3">
        <f t="shared" si="3"/>
        <v>1.4132446608331233</v>
      </c>
      <c r="U3">
        <f t="shared" si="3"/>
        <v>19.061844317672882</v>
      </c>
      <c r="V3">
        <f t="shared" si="3"/>
        <v>7.0575515998888418</v>
      </c>
      <c r="W3">
        <f t="shared" si="3"/>
        <v>10.47019786932146</v>
      </c>
      <c r="X3">
        <f t="shared" si="3"/>
        <v>9.1499231625302624</v>
      </c>
      <c r="Y3">
        <f t="shared" si="3"/>
        <v>8.4274902173560662</v>
      </c>
      <c r="Z3">
        <f t="shared" si="3"/>
        <v>3.7007073529700918</v>
      </c>
      <c r="AA3" t="e">
        <f t="shared" si="3"/>
        <v>#DIV/0!</v>
      </c>
      <c r="AB3" t="e">
        <f t="shared" si="3"/>
        <v>#DIV/0!</v>
      </c>
    </row>
    <row r="5" spans="1:28">
      <c r="E5">
        <v>-1.4487950289371367E-2</v>
      </c>
      <c r="F5">
        <v>4.2985778337858456</v>
      </c>
      <c r="G5">
        <v>108.85651737469489</v>
      </c>
      <c r="H5">
        <v>107.03492557693484</v>
      </c>
      <c r="I5">
        <v>112.62556785582578</v>
      </c>
      <c r="J5">
        <v>108.94670972432286</v>
      </c>
      <c r="K5">
        <v>105.45906362253345</v>
      </c>
      <c r="L5">
        <v>96.066334301444385</v>
      </c>
    </row>
    <row r="6" spans="1:28">
      <c r="E6">
        <v>5.8290983940179793E-2</v>
      </c>
      <c r="F6">
        <v>0.85687610198275765</v>
      </c>
      <c r="G6">
        <v>104.04784738632458</v>
      </c>
      <c r="H6">
        <v>106.10024732419659</v>
      </c>
      <c r="I6">
        <v>109.26093403758802</v>
      </c>
      <c r="J6">
        <v>105.8059451866046</v>
      </c>
      <c r="K6">
        <v>110.06030609536839</v>
      </c>
      <c r="L6">
        <v>102.67524494012883</v>
      </c>
    </row>
    <row r="8" spans="1:28">
      <c r="E8">
        <v>3.5354306197609882E-2</v>
      </c>
      <c r="F8">
        <v>0.75349475365220031</v>
      </c>
      <c r="G8">
        <v>85.484005843782128</v>
      </c>
      <c r="H8">
        <v>102.08103128894959</v>
      </c>
      <c r="I8">
        <v>88.957824761436484</v>
      </c>
      <c r="J8">
        <v>85.572994592227545</v>
      </c>
      <c r="K8">
        <v>94.604730238721046</v>
      </c>
      <c r="L8">
        <v>94.746612638255826</v>
      </c>
    </row>
    <row r="9" spans="1:28">
      <c r="E9">
        <v>5.1565549039440745E-2</v>
      </c>
      <c r="F9">
        <v>2.0652619309824183</v>
      </c>
      <c r="G9">
        <v>95.17029880790561</v>
      </c>
      <c r="H9">
        <v>109.34966699055211</v>
      </c>
      <c r="I9">
        <v>96.591085347401389</v>
      </c>
      <c r="J9">
        <v>92.148172585502479</v>
      </c>
      <c r="K9">
        <v>98.75998131974994</v>
      </c>
      <c r="L9">
        <v>98.841503982155118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24E5-0B20-42BF-990A-D66A31A9C63D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0.66936989122739265</v>
      </c>
      <c r="F2">
        <v>0.67980368934277147</v>
      </c>
      <c r="G2">
        <v>26.294716305344846</v>
      </c>
      <c r="H2">
        <v>91.103431635431718</v>
      </c>
      <c r="I2">
        <v>97.35776475364284</v>
      </c>
      <c r="J2">
        <v>102.39183375036286</v>
      </c>
      <c r="K2">
        <v>93.03149910887737</v>
      </c>
      <c r="L2">
        <v>98.805532992569923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0.66781332959159068</v>
      </c>
      <c r="T2">
        <f t="shared" si="2"/>
        <v>0.71007682878809852</v>
      </c>
      <c r="U2">
        <f t="shared" si="2"/>
        <v>25.417917905397989</v>
      </c>
      <c r="V2">
        <f t="shared" si="2"/>
        <v>99.260225790028585</v>
      </c>
      <c r="W2">
        <f t="shared" si="2"/>
        <v>106.83943120279874</v>
      </c>
      <c r="X2">
        <f t="shared" si="2"/>
        <v>109.53836148222733</v>
      </c>
      <c r="Y2">
        <f t="shared" si="2"/>
        <v>98.106135860014433</v>
      </c>
      <c r="Z2">
        <f t="shared" si="2"/>
        <v>103.71811049630323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1.0935186973032116</v>
      </c>
      <c r="F3">
        <v>1.2123029778135497</v>
      </c>
      <c r="G3">
        <v>37.009072370849537</v>
      </c>
      <c r="H3">
        <v>93.631886978639358</v>
      </c>
      <c r="I3">
        <v>100.60673900448137</v>
      </c>
      <c r="J3">
        <v>102.45072819127978</v>
      </c>
      <c r="K3">
        <v>99.378733860601585</v>
      </c>
      <c r="L3">
        <v>103.53672929952027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0.4981690457016788</v>
      </c>
      <c r="T3">
        <f t="shared" si="3"/>
        <v>0.56261612027807295</v>
      </c>
      <c r="U3">
        <f t="shared" si="3"/>
        <v>24.854450628235103</v>
      </c>
      <c r="V3">
        <f t="shared" si="3"/>
        <v>12.934634116793793</v>
      </c>
      <c r="W3">
        <f t="shared" si="3"/>
        <v>15.630301104787577</v>
      </c>
      <c r="X3">
        <f t="shared" si="3"/>
        <v>12.420393975434122</v>
      </c>
      <c r="Y3">
        <f t="shared" si="3"/>
        <v>13.129143929650327</v>
      </c>
      <c r="Z3">
        <f t="shared" si="3"/>
        <v>5.5193245929053489</v>
      </c>
      <c r="AA3" t="e">
        <f t="shared" si="3"/>
        <v>#DIV/0!</v>
      </c>
      <c r="AB3" t="e">
        <f t="shared" si="3"/>
        <v>#DIV/0!</v>
      </c>
    </row>
    <row r="5" spans="1:28">
      <c r="E5">
        <v>0.89695260568041213</v>
      </c>
      <c r="F5">
        <v>0.90010162136086613</v>
      </c>
      <c r="G5">
        <v>17.399111992456945</v>
      </c>
      <c r="H5">
        <v>89.658103781040325</v>
      </c>
      <c r="I5">
        <v>94.524554490745572</v>
      </c>
      <c r="J5">
        <v>99.449747913779333</v>
      </c>
      <c r="K5">
        <v>83.227662743094285</v>
      </c>
      <c r="L5">
        <v>98.619021529638388</v>
      </c>
    </row>
    <row r="6" spans="1:28">
      <c r="E6">
        <v>1.2077350292077926</v>
      </c>
      <c r="F6">
        <v>1.3639886430883919</v>
      </c>
      <c r="G6">
        <v>67.759316131120841</v>
      </c>
      <c r="H6">
        <v>90.572429796197241</v>
      </c>
      <c r="I6">
        <v>95.303142999403732</v>
      </c>
      <c r="J6">
        <v>103.15087857608673</v>
      </c>
      <c r="K6">
        <v>86.258580125531765</v>
      </c>
      <c r="L6">
        <v>101.04492227151422</v>
      </c>
    </row>
    <row r="8" spans="1:28">
      <c r="E8">
        <v>7.2815052248211262E-2</v>
      </c>
      <c r="F8">
        <v>5.6827881955595454E-2</v>
      </c>
      <c r="G8">
        <v>2.9771430550293987</v>
      </c>
      <c r="H8">
        <v>120.60007700889552</v>
      </c>
      <c r="I8">
        <v>130.18067939639388</v>
      </c>
      <c r="J8">
        <v>130.17948629825926</v>
      </c>
      <c r="K8">
        <v>115.21213367706031</v>
      </c>
      <c r="L8">
        <v>112.62425759208539</v>
      </c>
    </row>
    <row r="9" spans="1:28">
      <c r="E9">
        <v>6.6488701882523399E-2</v>
      </c>
      <c r="F9">
        <v>4.7436159167415816E-2</v>
      </c>
      <c r="G9">
        <v>1.0681475775863909</v>
      </c>
      <c r="H9">
        <v>109.99542553996729</v>
      </c>
      <c r="I9">
        <v>123.06370657212504</v>
      </c>
      <c r="J9">
        <v>119.60749416359606</v>
      </c>
      <c r="K9">
        <v>111.52820564492131</v>
      </c>
      <c r="L9">
        <v>107.67819929249119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C8F57-C0EB-4B0E-A622-004B1D6972E3}">
  <dimension ref="A1:AB6"/>
  <sheetViews>
    <sheetView workbookViewId="0">
      <selection activeCell="E5" sqref="E5:L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126.34388878161808</v>
      </c>
      <c r="F2">
        <v>140.9872455199162</v>
      </c>
      <c r="G2">
        <v>134.25789924897933</v>
      </c>
      <c r="H2">
        <v>122.22085947601607</v>
      </c>
      <c r="I2">
        <v>103.45463646503782</v>
      </c>
      <c r="J2">
        <v>97.018050644199775</v>
      </c>
      <c r="K2">
        <v>98.402935061966915</v>
      </c>
      <c r="L2">
        <v>108.75827787326533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122.65153664855735</v>
      </c>
      <c r="T2">
        <f t="shared" si="2"/>
        <v>136.54502497064783</v>
      </c>
      <c r="U2">
        <f t="shared" si="2"/>
        <v>126.38407669200126</v>
      </c>
      <c r="V2">
        <f t="shared" si="2"/>
        <v>110.34765942747515</v>
      </c>
      <c r="W2">
        <f t="shared" si="2"/>
        <v>93.967126300765187</v>
      </c>
      <c r="X2">
        <f t="shared" si="2"/>
        <v>100.17662964337823</v>
      </c>
      <c r="Y2">
        <f t="shared" si="2"/>
        <v>93.529475562038996</v>
      </c>
      <c r="Z2">
        <f t="shared" si="2"/>
        <v>102.15493765343071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132.91208083928686</v>
      </c>
      <c r="F3">
        <v>133.27559490473669</v>
      </c>
      <c r="G3">
        <v>137.09120588963276</v>
      </c>
      <c r="H3">
        <v>124.61480375252208</v>
      </c>
      <c r="I3">
        <v>91.256005707146144</v>
      </c>
      <c r="J3">
        <v>100.62717560163934</v>
      </c>
      <c r="K3">
        <v>96.520753468848326</v>
      </c>
      <c r="L3">
        <v>104.00643830432057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11.052838716490449</v>
      </c>
      <c r="T3">
        <f t="shared" si="3"/>
        <v>3.3471877502342511</v>
      </c>
      <c r="U3">
        <f t="shared" si="3"/>
        <v>10.794581817276139</v>
      </c>
      <c r="V3">
        <f t="shared" si="3"/>
        <v>15.141767166324785</v>
      </c>
      <c r="W3">
        <f t="shared" si="3"/>
        <v>6.3352931271891268</v>
      </c>
      <c r="X3">
        <f t="shared" si="3"/>
        <v>2.1696022169202873</v>
      </c>
      <c r="Y3">
        <f t="shared" si="3"/>
        <v>4.9843989634922767</v>
      </c>
      <c r="Z3">
        <f t="shared" si="3"/>
        <v>5.3131021018027358</v>
      </c>
      <c r="AA3" t="e">
        <f t="shared" si="3"/>
        <v>#DIV/0!</v>
      </c>
      <c r="AB3" t="e">
        <f t="shared" si="3"/>
        <v>#DIV/0!</v>
      </c>
    </row>
    <row r="5" spans="1:28">
      <c r="E5">
        <v>107.00785588903916</v>
      </c>
      <c r="F5">
        <v>137.07683865014673</v>
      </c>
      <c r="G5">
        <v>116.70410854102988</v>
      </c>
      <c r="H5">
        <v>96.372984562877235</v>
      </c>
      <c r="I5">
        <v>90.372697152060198</v>
      </c>
      <c r="J5">
        <v>101.90158208086952</v>
      </c>
      <c r="K5">
        <v>87.261801650553096</v>
      </c>
      <c r="L5">
        <v>96.949550439804923</v>
      </c>
    </row>
    <row r="6" spans="1:28">
      <c r="E6">
        <v>124.34232108428535</v>
      </c>
      <c r="F6">
        <v>134.84042080779165</v>
      </c>
      <c r="G6">
        <v>117.48309308836306</v>
      </c>
      <c r="H6">
        <v>98.181989918485186</v>
      </c>
      <c r="I6">
        <v>90.785165878816571</v>
      </c>
      <c r="J6">
        <v>101.15971024680429</v>
      </c>
      <c r="K6">
        <v>91.932412066787663</v>
      </c>
      <c r="L6">
        <v>98.905483996332023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F78A-A5D1-4A40-AA6D-A93E6BED1579}">
  <dimension ref="A1:AB3"/>
  <sheetViews>
    <sheetView workbookViewId="0">
      <selection activeCell="E2" sqref="E2:L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5.4556703404218583</v>
      </c>
      <c r="F2">
        <v>111.31830110025925</v>
      </c>
      <c r="G2">
        <v>111.23205421244677</v>
      </c>
      <c r="H2">
        <v>102.07165368957624</v>
      </c>
      <c r="I2">
        <v>92.556138161655781</v>
      </c>
      <c r="J2">
        <v>98.646227575193208</v>
      </c>
      <c r="K2">
        <v>79.698138921701542</v>
      </c>
      <c r="L2">
        <v>97.849013583040374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3.358032862363673</v>
      </c>
      <c r="T2">
        <f t="shared" si="2"/>
        <v>110.57366987735321</v>
      </c>
      <c r="U2">
        <f t="shared" si="2"/>
        <v>111.1088045142198</v>
      </c>
      <c r="V2">
        <f t="shared" si="2"/>
        <v>98.829259691887245</v>
      </c>
      <c r="W2">
        <f t="shared" si="2"/>
        <v>89.561897970850566</v>
      </c>
      <c r="X2">
        <f t="shared" si="2"/>
        <v>96.673932569858394</v>
      </c>
      <c r="Y2">
        <f t="shared" si="2"/>
        <v>90.123141658974106</v>
      </c>
      <c r="Z2">
        <f t="shared" si="2"/>
        <v>98.650462532080383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1.2603953843054876</v>
      </c>
      <c r="F3">
        <v>109.82903865444717</v>
      </c>
      <c r="G3">
        <v>110.98555481599284</v>
      </c>
      <c r="H3">
        <v>95.586865694198252</v>
      </c>
      <c r="I3">
        <v>86.567657780045366</v>
      </c>
      <c r="J3">
        <v>94.70163756452358</v>
      </c>
      <c r="K3">
        <v>100.54814439624668</v>
      </c>
      <c r="L3">
        <v>99.451911481120376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2.9665073704119811</v>
      </c>
      <c r="T3">
        <f t="shared" si="3"/>
        <v>1.0530675744001805</v>
      </c>
      <c r="U3">
        <f t="shared" si="3"/>
        <v>0.17430139479096332</v>
      </c>
      <c r="V3">
        <f t="shared" si="3"/>
        <v>4.5854375660888911</v>
      </c>
      <c r="W3">
        <f t="shared" si="3"/>
        <v>4.2344950868393285</v>
      </c>
      <c r="X3">
        <f t="shared" si="3"/>
        <v>2.7892463455452101</v>
      </c>
      <c r="Y3">
        <f t="shared" si="3"/>
        <v>14.74318025882768</v>
      </c>
      <c r="Z3">
        <f t="shared" si="3"/>
        <v>1.1334199732820329</v>
      </c>
      <c r="AA3" t="e">
        <f t="shared" si="3"/>
        <v>#DIV/0!</v>
      </c>
      <c r="AB3" t="e">
        <f t="shared" si="3"/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3C1C-B958-44FD-917D-FF97AF04CD48}">
  <dimension ref="A1:AB6"/>
  <sheetViews>
    <sheetView workbookViewId="0">
      <selection activeCell="E5" sqref="E5:L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64.19128531891613</v>
      </c>
      <c r="F2">
        <v>94.135469043123265</v>
      </c>
      <c r="G2">
        <v>92.439348378869326</v>
      </c>
      <c r="H2">
        <v>106.25925364795135</v>
      </c>
      <c r="I2">
        <v>97.312044522046222</v>
      </c>
      <c r="J2">
        <v>102.56751319059796</v>
      </c>
      <c r="K2">
        <v>92.491360262673567</v>
      </c>
      <c r="L2">
        <v>104.60898221238925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102.30107224571934</v>
      </c>
      <c r="T2">
        <f t="shared" si="2"/>
        <v>103.70799058340367</v>
      </c>
      <c r="U2">
        <f t="shared" si="2"/>
        <v>96.180256894347181</v>
      </c>
      <c r="V2">
        <f t="shared" si="2"/>
        <v>98.423044478938124</v>
      </c>
      <c r="W2">
        <f t="shared" si="2"/>
        <v>100.41419315926143</v>
      </c>
      <c r="X2">
        <f t="shared" si="2"/>
        <v>107.42827455799879</v>
      </c>
      <c r="Y2">
        <f t="shared" si="2"/>
        <v>93.982702059525295</v>
      </c>
      <c r="Z2">
        <f t="shared" si="2"/>
        <v>105.41482875930394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118.44081869086696</v>
      </c>
      <c r="F3">
        <v>96.693097809510107</v>
      </c>
      <c r="G3">
        <v>99.456582714619856</v>
      </c>
      <c r="H3">
        <v>101.27048027184382</v>
      </c>
      <c r="I3">
        <v>107.74098700520659</v>
      </c>
      <c r="J3">
        <v>109.81253330589388</v>
      </c>
      <c r="K3">
        <v>104.07843866514018</v>
      </c>
      <c r="L3">
        <v>103.14420814391644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25.528083628721955</v>
      </c>
      <c r="T3">
        <f t="shared" si="3"/>
        <v>9.6340656519133123</v>
      </c>
      <c r="U3">
        <f t="shared" si="3"/>
        <v>3.2881595551687375</v>
      </c>
      <c r="V3">
        <f t="shared" si="3"/>
        <v>6.5219486698618567</v>
      </c>
      <c r="W3">
        <f t="shared" si="3"/>
        <v>5.372151377802683</v>
      </c>
      <c r="X3">
        <f t="shared" si="3"/>
        <v>3.2990594264540465</v>
      </c>
      <c r="Y3">
        <f t="shared" si="3"/>
        <v>7.1106792074980776</v>
      </c>
      <c r="Z3">
        <f t="shared" si="3"/>
        <v>1.9129540267318235</v>
      </c>
      <c r="AA3" t="e">
        <f t="shared" si="3"/>
        <v>#DIV/0!</v>
      </c>
      <c r="AB3" t="e">
        <f t="shared" si="3"/>
        <v>#DIV/0!</v>
      </c>
    </row>
    <row r="5" spans="1:28">
      <c r="E5">
        <v>113.94204483324221</v>
      </c>
      <c r="F5">
        <v>112.12940222893882</v>
      </c>
      <c r="G5">
        <v>98.361824240704195</v>
      </c>
      <c r="H5">
        <v>92.365944504440961</v>
      </c>
      <c r="I5">
        <v>95.6231597194475</v>
      </c>
      <c r="J5">
        <v>109.03609036678117</v>
      </c>
      <c r="K5">
        <v>91.973916240349439</v>
      </c>
      <c r="L5">
        <v>106.48362246751624</v>
      </c>
    </row>
    <row r="6" spans="1:28">
      <c r="E6">
        <v>112.63014013985209</v>
      </c>
      <c r="F6">
        <v>111.87399325204248</v>
      </c>
      <c r="G6">
        <v>94.46327224319532</v>
      </c>
      <c r="H6">
        <v>93.796499491516357</v>
      </c>
      <c r="I6">
        <v>100.98058139034541</v>
      </c>
      <c r="J6">
        <v>108.29696136872218</v>
      </c>
      <c r="K6">
        <v>87.387093069937976</v>
      </c>
      <c r="L6">
        <v>107.42250221339384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69CF8-67C3-4957-A808-1B3F5CB3C495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0.48625860848297614</v>
      </c>
      <c r="F2">
        <v>0.39172361450723925</v>
      </c>
      <c r="G2">
        <v>0.56165966233617193</v>
      </c>
      <c r="H2">
        <v>90.171794199671183</v>
      </c>
      <c r="I2">
        <v>102.41442236822917</v>
      </c>
      <c r="J2">
        <v>109.3181211669465</v>
      </c>
      <c r="K2">
        <v>93.644176969643624</v>
      </c>
      <c r="L2">
        <v>95.820038623842365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0.62292915083812117</v>
      </c>
      <c r="T2">
        <f t="shared" si="2"/>
        <v>0.65797624666729204</v>
      </c>
      <c r="U2">
        <f t="shared" si="2"/>
        <v>3.4029150193491389</v>
      </c>
      <c r="V2">
        <f t="shared" si="2"/>
        <v>86.834188259906398</v>
      </c>
      <c r="W2">
        <f t="shared" si="2"/>
        <v>106.61360746122263</v>
      </c>
      <c r="X2">
        <f t="shared" si="2"/>
        <v>110.06755654252474</v>
      </c>
      <c r="Y2">
        <f t="shared" si="2"/>
        <v>96.208778558300068</v>
      </c>
      <c r="Z2">
        <f t="shared" si="2"/>
        <v>103.59900772074542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0.72954881894831691</v>
      </c>
      <c r="F3">
        <v>0.93299587976125264</v>
      </c>
      <c r="G3">
        <v>0.90235532210642067</v>
      </c>
      <c r="H3">
        <v>83.617786563482724</v>
      </c>
      <c r="I3">
        <v>101.68747068584288</v>
      </c>
      <c r="J3">
        <v>111.97037877323883</v>
      </c>
      <c r="K3">
        <v>94.260119795840296</v>
      </c>
      <c r="L3">
        <v>96.287653384672225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0.61050550534323234</v>
      </c>
      <c r="T3">
        <f t="shared" si="3"/>
        <v>0.58792073254140076</v>
      </c>
      <c r="U3">
        <f t="shared" si="3"/>
        <v>4.9678384360115313</v>
      </c>
      <c r="V3">
        <f t="shared" si="3"/>
        <v>15.457727904288925</v>
      </c>
      <c r="W3">
        <f t="shared" si="3"/>
        <v>3.7155725842168423</v>
      </c>
      <c r="X3">
        <f t="shared" si="3"/>
        <v>1.7988126756665326</v>
      </c>
      <c r="Y3">
        <f t="shared" si="3"/>
        <v>4.5728268798717169</v>
      </c>
      <c r="Z3">
        <f t="shared" si="3"/>
        <v>6.3019483849410358</v>
      </c>
      <c r="AA3" t="e">
        <f t="shared" si="3"/>
        <v>#DIV/0!</v>
      </c>
      <c r="AB3" t="e">
        <f t="shared" si="3"/>
        <v>#DIV/0!</v>
      </c>
    </row>
    <row r="5" spans="1:28">
      <c r="E5">
        <v>1.7067134758711979</v>
      </c>
      <c r="F5">
        <v>1.0977350683443383</v>
      </c>
      <c r="G5">
        <v>2.1948317873891896</v>
      </c>
      <c r="H5">
        <v>72.053046021705796</v>
      </c>
      <c r="I5">
        <v>109.3302761880759</v>
      </c>
      <c r="J5">
        <v>107.00874272446423</v>
      </c>
      <c r="K5">
        <v>95.197555415304336</v>
      </c>
      <c r="L5">
        <v>111.69676478017136</v>
      </c>
    </row>
    <row r="6" spans="1:28">
      <c r="E6">
        <v>0.71048315156398378</v>
      </c>
      <c r="F6">
        <v>1.447005909370948</v>
      </c>
      <c r="G6">
        <v>1.8867801270386466</v>
      </c>
      <c r="H6">
        <v>67.556854139182832</v>
      </c>
      <c r="I6">
        <v>107.447181258798</v>
      </c>
      <c r="J6">
        <v>110.09116795050983</v>
      </c>
      <c r="K6">
        <v>90.653905487096537</v>
      </c>
      <c r="L6">
        <v>104.94176098088546</v>
      </c>
    </row>
    <row r="8" spans="1:28">
      <c r="E8">
        <v>4.9494388155087381E-2</v>
      </c>
      <c r="F8">
        <v>3.884034509009885E-2</v>
      </c>
      <c r="G8">
        <v>1.4033953632684699</v>
      </c>
      <c r="H8">
        <v>101.89823636465358</v>
      </c>
      <c r="I8">
        <v>108.07609428993801</v>
      </c>
      <c r="J8">
        <v>111.66752995529721</v>
      </c>
      <c r="K8">
        <v>102.42816929947402</v>
      </c>
      <c r="L8">
        <v>107.22004711020696</v>
      </c>
    </row>
    <row r="9" spans="1:28">
      <c r="E9">
        <v>5.50764620071649E-2</v>
      </c>
      <c r="F9">
        <v>3.9556662929875266E-2</v>
      </c>
      <c r="G9">
        <v>13.468467853955934</v>
      </c>
      <c r="H9">
        <v>105.70741227074221</v>
      </c>
      <c r="I9">
        <v>110.72619997645181</v>
      </c>
      <c r="J9">
        <v>110.34939868469181</v>
      </c>
      <c r="K9">
        <v>101.06874438244158</v>
      </c>
      <c r="L9">
        <v>105.62778144469401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E115B-4970-40AE-869D-0D5F80BACE3A}">
  <dimension ref="A1:AB12"/>
  <sheetViews>
    <sheetView workbookViewId="0">
      <selection activeCell="E11" sqref="E11:L12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0.43940183618650525</v>
      </c>
      <c r="F2">
        <v>0.65913481882035585</v>
      </c>
      <c r="G2">
        <v>101.70490593251449</v>
      </c>
      <c r="H2">
        <v>102.56473462163724</v>
      </c>
      <c r="I2">
        <v>115.1145141625888</v>
      </c>
      <c r="J2">
        <v>109.65035310274875</v>
      </c>
      <c r="K2">
        <v>114.94000787461405</v>
      </c>
      <c r="L2">
        <v>127.72314015213367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0.31476138141018062</v>
      </c>
      <c r="T2">
        <f t="shared" si="2"/>
        <v>0.40351120016119724</v>
      </c>
      <c r="U2">
        <f t="shared" si="2"/>
        <v>93.292347210976487</v>
      </c>
      <c r="V2">
        <f t="shared" si="2"/>
        <v>99.722612528005428</v>
      </c>
      <c r="W2">
        <f t="shared" si="2"/>
        <v>103.14274978621303</v>
      </c>
      <c r="X2">
        <f t="shared" si="2"/>
        <v>105.1389869297788</v>
      </c>
      <c r="Y2">
        <f t="shared" si="2"/>
        <v>103.70362283352077</v>
      </c>
      <c r="Z2">
        <f t="shared" si="2"/>
        <v>106.86231273230059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0.43092536697957057</v>
      </c>
      <c r="F3">
        <v>0.65222630714143848</v>
      </c>
      <c r="G3">
        <v>97.605359300432369</v>
      </c>
      <c r="H3">
        <v>108.23909750527207</v>
      </c>
      <c r="I3">
        <v>107.69643366815731</v>
      </c>
      <c r="J3">
        <v>110.9315988250105</v>
      </c>
      <c r="K3">
        <v>116.42432657083583</v>
      </c>
      <c r="L3">
        <v>128.88906689506229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0.31481865170924456</v>
      </c>
      <c r="T3">
        <f t="shared" si="3"/>
        <v>0.31024085777059285</v>
      </c>
      <c r="U3">
        <f t="shared" si="3"/>
        <v>9.2871480156919795</v>
      </c>
      <c r="V3">
        <f t="shared" si="3"/>
        <v>8.0992019361704397</v>
      </c>
      <c r="W3">
        <f t="shared" si="3"/>
        <v>6.4340756154965115</v>
      </c>
      <c r="X3">
        <f t="shared" si="3"/>
        <v>7.8739891654590304</v>
      </c>
      <c r="Y3">
        <f t="shared" si="3"/>
        <v>11.656921046060052</v>
      </c>
      <c r="Z3">
        <f t="shared" si="3"/>
        <v>14.20561410254988</v>
      </c>
      <c r="AA3" t="e">
        <f t="shared" si="3"/>
        <v>#DIV/0!</v>
      </c>
      <c r="AB3" t="e">
        <f t="shared" si="3"/>
        <v>#DIV/0!</v>
      </c>
    </row>
    <row r="5" spans="1:28">
      <c r="E5">
        <v>-2.5341799335589384E-2</v>
      </c>
      <c r="F5">
        <v>3.8839821735697208E-2</v>
      </c>
      <c r="G5">
        <v>96.680585363323374</v>
      </c>
      <c r="H5">
        <v>96.360562018335457</v>
      </c>
      <c r="I5">
        <v>103.12281743760911</v>
      </c>
      <c r="J5">
        <v>106.07346718648189</v>
      </c>
      <c r="K5">
        <v>106.07357184774848</v>
      </c>
      <c r="L5">
        <v>96.567199668499995</v>
      </c>
    </row>
    <row r="6" spans="1:28">
      <c r="E6">
        <v>-1.3131219158594117E-2</v>
      </c>
      <c r="F6">
        <v>0.12997311973346892</v>
      </c>
      <c r="G6">
        <v>96.953261354573698</v>
      </c>
      <c r="H6">
        <v>92.555594813364536</v>
      </c>
      <c r="I6">
        <v>96.464713334884266</v>
      </c>
      <c r="J6">
        <v>94.23067176588043</v>
      </c>
      <c r="K6">
        <v>85.140764060987323</v>
      </c>
      <c r="L6">
        <v>91.268715242789455</v>
      </c>
    </row>
    <row r="8" spans="1:28">
      <c r="E8">
        <v>6.8897782077781189E-2</v>
      </c>
      <c r="F8">
        <v>2.6587147449955172E-2</v>
      </c>
      <c r="G8">
        <v>99.17694056252688</v>
      </c>
      <c r="H8">
        <v>110.34026151897558</v>
      </c>
      <c r="I8">
        <v>104.69489762272069</v>
      </c>
      <c r="J8">
        <v>96.63638958152147</v>
      </c>
      <c r="K8">
        <v>110.07165033470254</v>
      </c>
      <c r="L8">
        <v>99.336673506341953</v>
      </c>
    </row>
    <row r="9" spans="1:28">
      <c r="E9">
        <v>0.14745332584856802</v>
      </c>
      <c r="F9">
        <v>0.31022183543017112</v>
      </c>
      <c r="G9">
        <v>97.189770429872155</v>
      </c>
      <c r="H9">
        <v>106.19759166597646</v>
      </c>
      <c r="I9">
        <v>104.00968649123632</v>
      </c>
      <c r="J9">
        <v>99.007439510341044</v>
      </c>
      <c r="K9">
        <v>110.67310313503904</v>
      </c>
      <c r="L9">
        <v>97.573932009465011</v>
      </c>
    </row>
    <row r="11" spans="1:28">
      <c r="E11">
        <v>0.73782049437426256</v>
      </c>
      <c r="F11">
        <v>0.7579999943907253</v>
      </c>
      <c r="G11">
        <v>79.714682029569772</v>
      </c>
      <c r="H11">
        <v>91.327189549480337</v>
      </c>
      <c r="I11">
        <v>98.239231861518689</v>
      </c>
      <c r="J11">
        <v>107.39025815180656</v>
      </c>
      <c r="K11">
        <v>93.911593662346078</v>
      </c>
      <c r="L11">
        <v>107.05997493156804</v>
      </c>
    </row>
    <row r="12" spans="1:28">
      <c r="E12">
        <v>0.7320652643089407</v>
      </c>
      <c r="F12">
        <v>0.65310655658776595</v>
      </c>
      <c r="G12">
        <v>77.313272714999229</v>
      </c>
      <c r="H12">
        <v>90.195868531001764</v>
      </c>
      <c r="I12">
        <v>95.799703710989121</v>
      </c>
      <c r="J12">
        <v>117.19171731443963</v>
      </c>
      <c r="K12">
        <v>92.393965181892867</v>
      </c>
      <c r="L12">
        <v>106.47979945254426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06BD3-B6C9-4180-B039-60E85789E4B4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0.39816495896357978</v>
      </c>
      <c r="F2">
        <v>0.48563696870208689</v>
      </c>
      <c r="G2">
        <v>0.83892300178725931</v>
      </c>
      <c r="H2">
        <v>74.179116066905692</v>
      </c>
      <c r="I2">
        <v>102.18519014100281</v>
      </c>
      <c r="J2">
        <v>118.02192894859085</v>
      </c>
      <c r="K2">
        <v>118.18287524723294</v>
      </c>
      <c r="L2">
        <v>123.7517676526497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0.12177499129213291</v>
      </c>
      <c r="T2">
        <f t="shared" si="2"/>
        <v>0.15538300881737291</v>
      </c>
      <c r="U2">
        <f t="shared" si="2"/>
        <v>0.4638463195744138</v>
      </c>
      <c r="V2">
        <f t="shared" si="2"/>
        <v>69.424612735926203</v>
      </c>
      <c r="W2">
        <f t="shared" si="2"/>
        <v>97.830531631872418</v>
      </c>
      <c r="X2">
        <f t="shared" si="2"/>
        <v>105.62570077443746</v>
      </c>
      <c r="Y2">
        <f t="shared" si="2"/>
        <v>107.53680108556684</v>
      </c>
      <c r="Z2">
        <f t="shared" si="2"/>
        <v>105.76966971618039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0.37227736381807663</v>
      </c>
      <c r="F3">
        <v>0.39142999126230288</v>
      </c>
      <c r="G3">
        <v>0.6065336361437188</v>
      </c>
      <c r="H3">
        <v>64.034184958174706</v>
      </c>
      <c r="I3">
        <v>111.49850716097565</v>
      </c>
      <c r="J3">
        <v>111.99730264058472</v>
      </c>
      <c r="K3">
        <v>118.41899854250563</v>
      </c>
      <c r="L3">
        <v>124.49968112932595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0.20578155771094242</v>
      </c>
      <c r="T3">
        <f t="shared" si="3"/>
        <v>0.22607949721808321</v>
      </c>
      <c r="U3">
        <f t="shared" si="3"/>
        <v>0.55854578052639114</v>
      </c>
      <c r="V3">
        <f t="shared" si="3"/>
        <v>23.334615344061472</v>
      </c>
      <c r="W3">
        <f t="shared" si="3"/>
        <v>8.6327023608025879</v>
      </c>
      <c r="X3">
        <f t="shared" si="3"/>
        <v>7.8008977250724083</v>
      </c>
      <c r="Y3">
        <f t="shared" si="3"/>
        <v>12.269945031978979</v>
      </c>
      <c r="Z3">
        <f t="shared" si="3"/>
        <v>14.748549827222124</v>
      </c>
      <c r="AA3" t="e">
        <f t="shared" si="3"/>
        <v>#DIV/0!</v>
      </c>
      <c r="AB3" t="e">
        <f t="shared" si="3"/>
        <v>#DIV/0!</v>
      </c>
    </row>
    <row r="5" spans="1:28">
      <c r="E5">
        <v>-3.8715291910393725E-2</v>
      </c>
      <c r="F5">
        <v>-2.7414356333899423E-2</v>
      </c>
      <c r="G5">
        <v>-8.812161844341266E-3</v>
      </c>
      <c r="H5">
        <v>61.810407805987325</v>
      </c>
      <c r="I5">
        <v>93.155883296791586</v>
      </c>
      <c r="J5">
        <v>102.00476602373602</v>
      </c>
      <c r="K5">
        <v>98.041792353035731</v>
      </c>
      <c r="L5">
        <v>97.785295341850116</v>
      </c>
    </row>
    <row r="6" spans="1:28">
      <c r="E6">
        <v>-3.7552379512584652E-2</v>
      </c>
      <c r="F6">
        <v>-2.9239726546020965E-2</v>
      </c>
      <c r="G6">
        <v>-1.4765528709080182E-2</v>
      </c>
      <c r="H6">
        <v>45.979799643491866</v>
      </c>
      <c r="I6">
        <v>86.725283077017451</v>
      </c>
      <c r="J6">
        <v>97.591089519233961</v>
      </c>
      <c r="K6">
        <v>89.163335277033312</v>
      </c>
      <c r="L6">
        <v>89.142285440419457</v>
      </c>
    </row>
    <row r="8" spans="1:28">
      <c r="E8">
        <v>1.9832903476707981E-2</v>
      </c>
      <c r="F8">
        <v>1.4129828905073789E-2</v>
      </c>
      <c r="G8">
        <v>2.7765070339089121E-2</v>
      </c>
      <c r="H8">
        <v>57.33519718967095</v>
      </c>
      <c r="I8">
        <v>93.615029336003801</v>
      </c>
      <c r="J8">
        <v>100.19235275964722</v>
      </c>
      <c r="K8">
        <v>116.75496486849377</v>
      </c>
      <c r="L8">
        <v>99.724532616208094</v>
      </c>
    </row>
    <row r="9" spans="1:28">
      <c r="E9">
        <v>1.6642392917411479E-2</v>
      </c>
      <c r="F9">
        <v>9.7755346914694188E-2</v>
      </c>
      <c r="G9">
        <v>1.3334338997298372</v>
      </c>
      <c r="H9">
        <v>113.20897075132667</v>
      </c>
      <c r="I9">
        <v>99.803296779443315</v>
      </c>
      <c r="J9">
        <v>103.94676475483197</v>
      </c>
      <c r="K9">
        <v>104.65884022509965</v>
      </c>
      <c r="L9">
        <v>99.714456116629023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4AE66-27DC-4E18-BC0C-1564C71EC303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0.32393857996231407</v>
      </c>
      <c r="F2">
        <v>0.35892858404557731</v>
      </c>
      <c r="G2">
        <v>0.44365242531948651</v>
      </c>
      <c r="H2">
        <v>0.96887783462397903</v>
      </c>
      <c r="I2">
        <v>97.422232533725989</v>
      </c>
      <c r="J2">
        <v>111.54647110436895</v>
      </c>
      <c r="K2">
        <v>114.7601811621733</v>
      </c>
      <c r="L2">
        <v>114.63126534661396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0.12596895197863051</v>
      </c>
      <c r="T2">
        <f t="shared" si="2"/>
        <v>0.11930207135053106</v>
      </c>
      <c r="U2">
        <f t="shared" si="2"/>
        <v>0.12626915316823764</v>
      </c>
      <c r="V2">
        <f t="shared" si="2"/>
        <v>0.39419061694630447</v>
      </c>
      <c r="W2">
        <f t="shared" si="2"/>
        <v>90.561572065285347</v>
      </c>
      <c r="X2">
        <f t="shared" si="2"/>
        <v>101.16962065844011</v>
      </c>
      <c r="Y2">
        <f t="shared" si="2"/>
        <v>103.87648894620797</v>
      </c>
      <c r="Z2">
        <f t="shared" si="2"/>
        <v>100.58322973354213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0.30102920372735553</v>
      </c>
      <c r="F3">
        <v>0.36882031667675463</v>
      </c>
      <c r="G3">
        <v>0.32341505431873208</v>
      </c>
      <c r="H3">
        <v>0.62020013532983875</v>
      </c>
      <c r="I3">
        <v>103.856113174369</v>
      </c>
      <c r="J3">
        <v>109.47509206253744</v>
      </c>
      <c r="K3">
        <v>108.46382858208594</v>
      </c>
      <c r="L3">
        <v>115.45989777653173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0.14700670671438701</v>
      </c>
      <c r="T3">
        <f t="shared" si="3"/>
        <v>0.19063868229068523</v>
      </c>
      <c r="U3">
        <f t="shared" si="3"/>
        <v>0.20367055012966517</v>
      </c>
      <c r="V3">
        <f t="shared" si="3"/>
        <v>0.35416083557922828</v>
      </c>
      <c r="W3">
        <f t="shared" si="3"/>
        <v>9.3099670073417684</v>
      </c>
      <c r="X3">
        <f t="shared" si="3"/>
        <v>7.8460797526001285</v>
      </c>
      <c r="Y3">
        <f t="shared" si="3"/>
        <v>7.0400426433167231</v>
      </c>
      <c r="Z3">
        <f t="shared" si="3"/>
        <v>12.531436285790111</v>
      </c>
      <c r="AA3" t="e">
        <f t="shared" si="3"/>
        <v>#DIV/0!</v>
      </c>
      <c r="AB3" t="e">
        <f t="shared" si="3"/>
        <v>#DIV/0!</v>
      </c>
    </row>
    <row r="5" spans="1:28">
      <c r="E5">
        <v>-1.6329228252569068E-2</v>
      </c>
      <c r="F5">
        <v>-2.9577758066784209E-2</v>
      </c>
      <c r="G5">
        <v>-2.2310389686175044E-2</v>
      </c>
      <c r="H5">
        <v>0.20367718746430269</v>
      </c>
      <c r="I5">
        <v>82.406000676726805</v>
      </c>
      <c r="J5">
        <v>99.24409030273975</v>
      </c>
      <c r="K5">
        <v>98.815300843640557</v>
      </c>
      <c r="L5">
        <v>92.3971223648484</v>
      </c>
    </row>
    <row r="6" spans="1:28">
      <c r="E6">
        <v>5.5771340411593463E-2</v>
      </c>
      <c r="F6">
        <v>-2.2614308739061298E-2</v>
      </c>
      <c r="G6">
        <v>-2.2722999270859922E-2</v>
      </c>
      <c r="H6">
        <v>6.7874685531667325E-2</v>
      </c>
      <c r="I6">
        <v>78.61124388820194</v>
      </c>
      <c r="J6">
        <v>91.205820494969046</v>
      </c>
      <c r="K6">
        <v>95.286036945251212</v>
      </c>
      <c r="L6">
        <v>87.443301539862034</v>
      </c>
    </row>
    <row r="8" spans="1:28">
      <c r="E8">
        <v>3.6906446469700066E-2</v>
      </c>
      <c r="F8">
        <v>1.4706556615484966E-2</v>
      </c>
      <c r="G8">
        <v>1.7763086338984182E-2</v>
      </c>
      <c r="H8">
        <v>7.5146808987719957E-2</v>
      </c>
      <c r="I8">
        <v>90.882637320579903</v>
      </c>
      <c r="J8">
        <v>96.178193875297453</v>
      </c>
      <c r="K8">
        <v>101.06337809435824</v>
      </c>
      <c r="L8">
        <v>89.784539463060369</v>
      </c>
    </row>
    <row r="9" spans="1:28">
      <c r="E9">
        <v>5.4497369553388887E-2</v>
      </c>
      <c r="F9">
        <v>2.5549037571215061E-2</v>
      </c>
      <c r="G9">
        <v>1.7817741989257979E-2</v>
      </c>
      <c r="H9">
        <v>0.42936704974031925</v>
      </c>
      <c r="I9">
        <v>90.191204798108345</v>
      </c>
      <c r="J9">
        <v>99.368056110728034</v>
      </c>
      <c r="K9">
        <v>104.87020804973859</v>
      </c>
      <c r="L9">
        <v>103.78325191033638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0AC3-5AEF-4439-A5C8-0D843863928B}">
  <dimension ref="A1:AB9"/>
  <sheetViews>
    <sheetView workbookViewId="0">
      <selection activeCell="E8" sqref="E8:L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20.87661710754972</v>
      </c>
      <c r="F2">
        <v>97.459407130389891</v>
      </c>
      <c r="G2">
        <v>99.283408600980977</v>
      </c>
      <c r="H2">
        <v>97.470823202918524</v>
      </c>
      <c r="I2">
        <v>103.06727574423472</v>
      </c>
      <c r="J2">
        <v>108.34485706804399</v>
      </c>
      <c r="K2">
        <v>97.363682369967435</v>
      </c>
      <c r="L2">
        <v>99.98414358136661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8.711799179952683</v>
      </c>
      <c r="T2">
        <f t="shared" si="2"/>
        <v>95.205916773291662</v>
      </c>
      <c r="U2">
        <f t="shared" si="2"/>
        <v>104.58729747510277</v>
      </c>
      <c r="V2">
        <f t="shared" si="2"/>
        <v>104.77779446914154</v>
      </c>
      <c r="W2">
        <f t="shared" si="2"/>
        <v>105.81692917780316</v>
      </c>
      <c r="X2">
        <f t="shared" si="2"/>
        <v>109.00366209459942</v>
      </c>
      <c r="Y2">
        <f t="shared" si="2"/>
        <v>97.042426547938831</v>
      </c>
      <c r="Z2">
        <f t="shared" si="2"/>
        <v>102.0146753949961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8.9087339898307274</v>
      </c>
      <c r="F3">
        <v>93.274901227502667</v>
      </c>
      <c r="G3">
        <v>103.20526271163941</v>
      </c>
      <c r="H3">
        <v>100.51952695071107</v>
      </c>
      <c r="I3">
        <v>99.453643232420376</v>
      </c>
      <c r="J3">
        <v>105.32066098971104</v>
      </c>
      <c r="K3">
        <v>97.083179252990107</v>
      </c>
      <c r="L3">
        <v>99.839491158550729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7.796457176572436</v>
      </c>
      <c r="T3">
        <f t="shared" si="3"/>
        <v>5.8315186382641748</v>
      </c>
      <c r="U3">
        <f t="shared" si="3"/>
        <v>6.4500407105407733</v>
      </c>
      <c r="V3">
        <f t="shared" si="3"/>
        <v>11.70158014433089</v>
      </c>
      <c r="W3">
        <f t="shared" si="3"/>
        <v>7.8082885536495539</v>
      </c>
      <c r="X3">
        <f t="shared" si="3"/>
        <v>5.3489152645583209</v>
      </c>
      <c r="Y3">
        <f t="shared" si="3"/>
        <v>4.8069869982469147</v>
      </c>
      <c r="Z3">
        <f t="shared" si="3"/>
        <v>3.7088349686081106</v>
      </c>
      <c r="AA3" t="e">
        <f t="shared" si="3"/>
        <v>#DIV/0!</v>
      </c>
      <c r="AB3" t="e">
        <f t="shared" si="3"/>
        <v>#DIV/0!</v>
      </c>
    </row>
    <row r="5" spans="1:28">
      <c r="E5">
        <v>12.967684383183217</v>
      </c>
      <c r="F5">
        <v>103.86114427335117</v>
      </c>
      <c r="G5">
        <v>98.752187536973096</v>
      </c>
      <c r="H5">
        <v>96.157123021557823</v>
      </c>
      <c r="I5">
        <v>102.50776068207944</v>
      </c>
      <c r="J5">
        <v>104.08409587439587</v>
      </c>
      <c r="K5">
        <v>93.398967046798901</v>
      </c>
      <c r="L5">
        <v>107.82352330114443</v>
      </c>
    </row>
    <row r="6" spans="1:28">
      <c r="E6">
        <v>8.694713821185001</v>
      </c>
      <c r="F6">
        <v>86.314397979913181</v>
      </c>
      <c r="G6">
        <v>101.34362494928108</v>
      </c>
      <c r="H6">
        <v>95.167484753361819</v>
      </c>
      <c r="I6">
        <v>99.414060819159204</v>
      </c>
      <c r="J6">
        <v>105.33051892236847</v>
      </c>
      <c r="K6">
        <v>91.010196006519607</v>
      </c>
      <c r="L6">
        <v>100.87288659777506</v>
      </c>
    </row>
    <row r="8" spans="1:28">
      <c r="E8">
        <v>0.40377000863360757</v>
      </c>
      <c r="F8">
        <v>93.258852196170807</v>
      </c>
      <c r="G8">
        <v>110.331781273207</v>
      </c>
      <c r="H8">
        <v>118.55144292949737</v>
      </c>
      <c r="I8">
        <v>111.51070352394284</v>
      </c>
      <c r="J8">
        <v>113.50737804922954</v>
      </c>
      <c r="K8">
        <v>98.352939483030994</v>
      </c>
      <c r="L8">
        <v>98.264772141882844</v>
      </c>
    </row>
    <row r="9" spans="1:28">
      <c r="E9">
        <v>0.41927576933382288</v>
      </c>
      <c r="F9">
        <v>97.06679783242221</v>
      </c>
      <c r="G9">
        <v>114.60751977853498</v>
      </c>
      <c r="H9">
        <v>120.80036595680261</v>
      </c>
      <c r="I9">
        <v>118.94813106498241</v>
      </c>
      <c r="J9">
        <v>117.43446166384769</v>
      </c>
      <c r="K9">
        <v>105.04559512832601</v>
      </c>
      <c r="L9">
        <v>105.30323558925696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9E7CD-403C-4196-AB43-3D070FBB2C5A}">
  <dimension ref="A1:AB9"/>
  <sheetViews>
    <sheetView workbookViewId="0">
      <selection activeCell="T26" sqref="T2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0.75710051509309084</v>
      </c>
      <c r="F2">
        <v>0.77538874611207143</v>
      </c>
      <c r="G2">
        <v>0.80743795234199833</v>
      </c>
      <c r="H2">
        <v>0.8841003617632891</v>
      </c>
      <c r="I2">
        <v>1.1523306634537955</v>
      </c>
      <c r="J2">
        <v>93.675816898194682</v>
      </c>
      <c r="K2">
        <v>85.888714514487958</v>
      </c>
      <c r="L2">
        <v>101.09778534060955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0.32309973715005147</v>
      </c>
      <c r="T2">
        <f t="shared" si="2"/>
        <v>0.31226120548711112</v>
      </c>
      <c r="U2">
        <f t="shared" si="2"/>
        <v>0.32065652480840295</v>
      </c>
      <c r="V2">
        <f t="shared" si="2"/>
        <v>0.32160909805014365</v>
      </c>
      <c r="W2">
        <f t="shared" si="2"/>
        <v>15.713961826347711</v>
      </c>
      <c r="X2">
        <f t="shared" si="2"/>
        <v>100.66375667658747</v>
      </c>
      <c r="Y2">
        <f t="shared" si="2"/>
        <v>93.084326983956359</v>
      </c>
      <c r="Z2">
        <f t="shared" si="2"/>
        <v>99.801228751200597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0.91939800293516738</v>
      </c>
      <c r="F3">
        <v>0.84026935737343844</v>
      </c>
      <c r="G3">
        <v>0.8454726059762312</v>
      </c>
      <c r="H3">
        <v>0.89946506890504418</v>
      </c>
      <c r="I3">
        <v>1.0671322051401841</v>
      </c>
      <c r="J3">
        <v>96.496497202503193</v>
      </c>
      <c r="K3">
        <v>90.219168741504433</v>
      </c>
      <c r="L3">
        <v>105.3106160116304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0.40353332261042901</v>
      </c>
      <c r="T3">
        <f t="shared" si="3"/>
        <v>0.38546993193528251</v>
      </c>
      <c r="U3">
        <f t="shared" si="3"/>
        <v>0.39452976968269476</v>
      </c>
      <c r="V3">
        <f t="shared" si="3"/>
        <v>0.44170676986047586</v>
      </c>
      <c r="W3">
        <f t="shared" si="3"/>
        <v>37.207917482207861</v>
      </c>
      <c r="X3">
        <f t="shared" si="3"/>
        <v>10.28532497859228</v>
      </c>
      <c r="Y3">
        <f t="shared" si="3"/>
        <v>8.4306825040405915</v>
      </c>
      <c r="Z3">
        <f t="shared" si="3"/>
        <v>6.4302362082734996</v>
      </c>
      <c r="AA3" t="e">
        <f t="shared" si="3"/>
        <v>#DIV/0!</v>
      </c>
      <c r="AB3" t="e">
        <f t="shared" si="3"/>
        <v>#DIV/0!</v>
      </c>
    </row>
    <row r="5" spans="1:28">
      <c r="E5">
        <v>3.5105042225287542E-2</v>
      </c>
      <c r="F5">
        <v>3.4462847180354111E-2</v>
      </c>
      <c r="G5">
        <v>3.5749503022442085E-2</v>
      </c>
      <c r="H5">
        <v>4.3243456712115082E-2</v>
      </c>
      <c r="I5">
        <v>91.657960689476013</v>
      </c>
      <c r="J5">
        <v>113.07771807039035</v>
      </c>
      <c r="K5">
        <v>101.65348256096721</v>
      </c>
      <c r="L5">
        <v>102.25841471700502</v>
      </c>
    </row>
    <row r="6" spans="1:28">
      <c r="E6">
        <v>2.7910369260387622E-2</v>
      </c>
      <c r="F6">
        <v>0.11803326182093567</v>
      </c>
      <c r="G6">
        <v>0.15447143380342881</v>
      </c>
      <c r="H6">
        <v>2.8434053728514028E-2</v>
      </c>
      <c r="I6">
        <v>0.21940931424310328</v>
      </c>
      <c r="J6">
        <v>114.57272122487154</v>
      </c>
      <c r="K6">
        <v>105.68530821797413</v>
      </c>
      <c r="L6">
        <v>106.21902652216799</v>
      </c>
    </row>
    <row r="8" spans="1:28">
      <c r="E8">
        <v>8.8730101833951316E-2</v>
      </c>
      <c r="F8">
        <v>4.9396439527918445E-2</v>
      </c>
      <c r="G8">
        <v>4.2400527598808795E-2</v>
      </c>
      <c r="H8">
        <v>3.7886251971881432E-2</v>
      </c>
      <c r="I8">
        <v>0.13338312297545726</v>
      </c>
      <c r="J8">
        <v>93.350537884542916</v>
      </c>
      <c r="K8">
        <v>88.387520361846342</v>
      </c>
      <c r="L8">
        <v>93.46636208332221</v>
      </c>
    </row>
    <row r="9" spans="1:28">
      <c r="E9">
        <v>0.11035439155242421</v>
      </c>
      <c r="F9">
        <v>5.6016580907948747E-2</v>
      </c>
      <c r="G9">
        <v>3.8407126107508238E-2</v>
      </c>
      <c r="H9">
        <v>3.6525395220017874E-2</v>
      </c>
      <c r="I9">
        <v>5.3554962797707224E-2</v>
      </c>
      <c r="J9">
        <v>92.809248779022084</v>
      </c>
      <c r="K9">
        <v>86.671767506958048</v>
      </c>
      <c r="L9">
        <v>90.455167832468319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58886-D9F7-47F4-ACA0-85B71CCFAD38}">
  <dimension ref="A1:AB9"/>
  <sheetViews>
    <sheetView workbookViewId="0">
      <selection activeCell="E8" sqref="E8:K9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1.0399290861125792</v>
      </c>
      <c r="F2">
        <v>1.0071200334485926</v>
      </c>
      <c r="G2">
        <v>1.0496489462985636</v>
      </c>
      <c r="H2">
        <v>54.192505134602698</v>
      </c>
      <c r="I2">
        <v>108.22493882229875</v>
      </c>
      <c r="J2">
        <v>120.10034275818893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0.65071356765299104</v>
      </c>
      <c r="T2">
        <f t="shared" si="2"/>
        <v>0.62492649967314351</v>
      </c>
      <c r="U2">
        <f t="shared" si="2"/>
        <v>0.65592269572309314</v>
      </c>
      <c r="V2">
        <f t="shared" si="2"/>
        <v>24.777170073631876</v>
      </c>
      <c r="W2">
        <f t="shared" si="2"/>
        <v>96.371840163632825</v>
      </c>
      <c r="X2">
        <f t="shared" si="2"/>
        <v>115.45997330505092</v>
      </c>
      <c r="Y2">
        <f t="shared" si="2"/>
        <v>106.63548054771027</v>
      </c>
      <c r="Z2">
        <f t="shared" si="2"/>
        <v>101.24219084711089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1.2313400770588159</v>
      </c>
      <c r="F3">
        <v>1.1427760500752289</v>
      </c>
      <c r="G3">
        <v>1.0864995888073468</v>
      </c>
      <c r="H3">
        <v>67.80135319669003</v>
      </c>
      <c r="I3">
        <v>111.575769565347</v>
      </c>
      <c r="J3">
        <v>129.7279526409958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0.50504075556155437</v>
      </c>
      <c r="T3">
        <f t="shared" si="3"/>
        <v>0.48632753576049648</v>
      </c>
      <c r="U3">
        <f t="shared" si="3"/>
        <v>0.49836994717640065</v>
      </c>
      <c r="V3">
        <f t="shared" si="3"/>
        <v>28.684950263199198</v>
      </c>
      <c r="W3">
        <f t="shared" si="3"/>
        <v>15.229385294530418</v>
      </c>
      <c r="X3">
        <f t="shared" si="3"/>
        <v>10.288781535500735</v>
      </c>
      <c r="Y3">
        <f t="shared" si="3"/>
        <v>3.8874864603832822</v>
      </c>
      <c r="Z3">
        <f t="shared" si="3"/>
        <v>2.2078745272682498</v>
      </c>
      <c r="AA3" t="e">
        <f t="shared" si="3"/>
        <v>#DIV/0!</v>
      </c>
      <c r="AB3" t="e">
        <f t="shared" si="3"/>
        <v>#DIV/0!</v>
      </c>
    </row>
    <row r="5" spans="1:28">
      <c r="E5">
        <v>3.5601226567694433E-2</v>
      </c>
      <c r="F5">
        <v>2.5071124392174467E-2</v>
      </c>
      <c r="G5">
        <v>2.2037364876847858E-2</v>
      </c>
      <c r="H5">
        <v>3.2820269794412575</v>
      </c>
      <c r="I5">
        <v>98.187474730862263</v>
      </c>
      <c r="J5">
        <v>121.17454714169635</v>
      </c>
      <c r="K5">
        <v>105.10239700024111</v>
      </c>
      <c r="L5">
        <v>102.80339389735131</v>
      </c>
    </row>
    <row r="6" spans="1:28">
      <c r="E6">
        <v>5.6440968948783858E-2</v>
      </c>
      <c r="F6">
        <v>3.3109802371887549E-2</v>
      </c>
      <c r="G6">
        <v>2.3366602758308524E-2</v>
      </c>
      <c r="H6">
        <v>14.609114035693951</v>
      </c>
      <c r="I6">
        <v>105.12951815297475</v>
      </c>
      <c r="J6">
        <v>114.03633667765621</v>
      </c>
      <c r="K6">
        <v>102.47600245477095</v>
      </c>
      <c r="L6">
        <v>99.680987796870468</v>
      </c>
    </row>
    <row r="8" spans="1:28">
      <c r="E8">
        <v>0.65537324401853381</v>
      </c>
      <c r="F8">
        <v>0.68204178816887684</v>
      </c>
      <c r="G8">
        <v>0.84728285402362014</v>
      </c>
      <c r="H8">
        <v>5.0978652273843537</v>
      </c>
      <c r="I8">
        <v>77.575970908405708</v>
      </c>
      <c r="J8">
        <v>104.30773037079602</v>
      </c>
      <c r="K8">
        <v>111.65930823938504</v>
      </c>
    </row>
    <row r="9" spans="1:28">
      <c r="E9">
        <v>0.88559680321153966</v>
      </c>
      <c r="F9">
        <v>0.85944019958210049</v>
      </c>
      <c r="G9">
        <v>0.90670081757387222</v>
      </c>
      <c r="H9">
        <v>3.6801558679789537</v>
      </c>
      <c r="I9">
        <v>77.537368801908386</v>
      </c>
      <c r="J9">
        <v>103.41293024097219</v>
      </c>
      <c r="K9">
        <v>107.304214496444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F198E-3EEC-4FC0-A52C-49FA62246A77}">
  <dimension ref="A1:AB13"/>
  <sheetViews>
    <sheetView workbookViewId="0">
      <selection activeCell="B11" sqref="B11:I1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B2">
        <v>60.449961014852136</v>
      </c>
      <c r="C2">
        <v>86.349218886267082</v>
      </c>
      <c r="D2">
        <v>90.821813098399659</v>
      </c>
      <c r="E2">
        <v>93.137039500978261</v>
      </c>
      <c r="F2">
        <v>84.860667942402017</v>
      </c>
      <c r="G2">
        <v>88.710664717147651</v>
      </c>
      <c r="O2" t="s">
        <v>1</v>
      </c>
      <c r="P2">
        <f>AVERAGE(B2:B30)</f>
        <v>15.857489882260271</v>
      </c>
      <c r="Q2">
        <f t="shared" ref="Q2:AB2" si="2">AVERAGE(C2:C30)</f>
        <v>25.731109620909411</v>
      </c>
      <c r="R2">
        <f t="shared" si="2"/>
        <v>90.782973678122886</v>
      </c>
      <c r="S2">
        <f t="shared" si="2"/>
        <v>102.15391985870482</v>
      </c>
      <c r="T2">
        <f t="shared" si="2"/>
        <v>101.27717960185235</v>
      </c>
      <c r="U2">
        <f t="shared" si="2"/>
        <v>101.05625415725387</v>
      </c>
      <c r="V2">
        <f t="shared" si="2"/>
        <v>105.75702735447372</v>
      </c>
      <c r="W2">
        <f t="shared" si="2"/>
        <v>105.04257874579264</v>
      </c>
      <c r="X2">
        <f t="shared" si="2"/>
        <v>103.24763332443477</v>
      </c>
      <c r="Y2">
        <f t="shared" si="2"/>
        <v>106.37744322165511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B3">
        <v>47.858440363217746</v>
      </c>
      <c r="C3">
        <v>90.628675611546072</v>
      </c>
      <c r="D3">
        <v>94.34887077713384</v>
      </c>
      <c r="E3">
        <v>98.211274140373177</v>
      </c>
      <c r="F3">
        <v>90.363086312548148</v>
      </c>
      <c r="G3">
        <v>86.740627447714118</v>
      </c>
      <c r="O3" t="s">
        <v>2</v>
      </c>
      <c r="P3">
        <f>_xlfn.STDEV.S(B2:B30)</f>
        <v>26.413871569730826</v>
      </c>
      <c r="Q3">
        <f t="shared" ref="Q3:AB3" si="3">_xlfn.STDEV.S(C2:C30)</f>
        <v>42.891166505639426</v>
      </c>
      <c r="R3">
        <f t="shared" si="3"/>
        <v>12.490403240026637</v>
      </c>
      <c r="S3">
        <f t="shared" si="3"/>
        <v>6.6991571349533636</v>
      </c>
      <c r="T3">
        <f t="shared" si="3"/>
        <v>8.706956997602747</v>
      </c>
      <c r="U3">
        <f t="shared" si="3"/>
        <v>8.8164496607834284</v>
      </c>
      <c r="V3">
        <f t="shared" si="3"/>
        <v>3.9938332882920711</v>
      </c>
      <c r="W3">
        <f t="shared" si="3"/>
        <v>8.8053652700883625</v>
      </c>
      <c r="X3">
        <f t="shared" si="3"/>
        <v>8.7399135798135958</v>
      </c>
      <c r="Y3">
        <f t="shared" si="3"/>
        <v>6.1910048292463182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68.161188101077101</v>
      </c>
      <c r="E5">
        <v>97.570548308627025</v>
      </c>
      <c r="F5">
        <v>101.95661046477251</v>
      </c>
      <c r="G5">
        <v>100.52643433003091</v>
      </c>
      <c r="H5">
        <v>101.69338935654868</v>
      </c>
      <c r="I5">
        <v>108.92844791350753</v>
      </c>
      <c r="J5">
        <v>109.42768548370536</v>
      </c>
      <c r="K5">
        <v>110.75514471877385</v>
      </c>
    </row>
    <row r="6" spans="1:28">
      <c r="D6">
        <v>74.803954366213503</v>
      </c>
      <c r="E6">
        <v>95.559440466212976</v>
      </c>
      <c r="F6">
        <v>97.823889194151079</v>
      </c>
      <c r="G6">
        <v>99.689295202120931</v>
      </c>
      <c r="H6">
        <v>105.42431566316456</v>
      </c>
      <c r="I6">
        <v>86.026113744832315</v>
      </c>
      <c r="J6">
        <v>97.067581165164185</v>
      </c>
      <c r="K6">
        <v>101.99974172453638</v>
      </c>
    </row>
    <row r="8" spans="1:28">
      <c r="B8">
        <v>0.21342233765623253</v>
      </c>
      <c r="C8">
        <v>0.11348813794337669</v>
      </c>
      <c r="D8">
        <v>104.56762913515256</v>
      </c>
      <c r="E8">
        <v>106.40185120065671</v>
      </c>
      <c r="F8">
        <v>103.64569609979175</v>
      </c>
      <c r="G8">
        <v>100.26347195112939</v>
      </c>
      <c r="H8">
        <v>102.0120277062104</v>
      </c>
      <c r="I8">
        <v>107.64918409368842</v>
      </c>
    </row>
    <row r="9" spans="1:28">
      <c r="B9">
        <v>0.27335922763678244</v>
      </c>
      <c r="C9">
        <v>0.14826206739012929</v>
      </c>
      <c r="D9">
        <v>104.93543315779985</v>
      </c>
      <c r="E9">
        <v>108.28244636319198</v>
      </c>
      <c r="F9">
        <v>107.6217738745074</v>
      </c>
      <c r="G9">
        <v>102.88195618170428</v>
      </c>
      <c r="H9">
        <v>102.01804343923217</v>
      </c>
      <c r="I9">
        <v>104.48046435410949</v>
      </c>
    </row>
    <row r="11" spans="1:28">
      <c r="B11">
        <v>0.71432464279069585</v>
      </c>
      <c r="C11">
        <v>0.94456364355632982</v>
      </c>
      <c r="D11">
        <v>99.130160686327571</v>
      </c>
      <c r="E11">
        <v>113.4027145014342</v>
      </c>
      <c r="F11">
        <v>108.73629627320965</v>
      </c>
      <c r="G11">
        <v>111.5170929680724</v>
      </c>
      <c r="H11">
        <v>111.29007862409213</v>
      </c>
      <c r="I11">
        <v>112.50095626230102</v>
      </c>
    </row>
    <row r="12" spans="1:28">
      <c r="B12">
        <v>0.71094188994401541</v>
      </c>
      <c r="C12">
        <v>0.93384546728325413</v>
      </c>
      <c r="D12">
        <v>88.205482368173776</v>
      </c>
      <c r="E12">
        <v>100.92079680105654</v>
      </c>
      <c r="F12">
        <v>106.38226482573768</v>
      </c>
      <c r="G12">
        <v>108.29351247265726</v>
      </c>
      <c r="H12">
        <v>109.32860140417843</v>
      </c>
      <c r="I12">
        <v>110.08213423836315</v>
      </c>
    </row>
    <row r="13" spans="1:28">
      <c r="B13">
        <v>0.78197969972430559</v>
      </c>
      <c r="C13">
        <v>0.99971353237961047</v>
      </c>
      <c r="D13">
        <v>92.072231412828089</v>
      </c>
      <c r="E13">
        <v>105.89916744581259</v>
      </c>
      <c r="F13">
        <v>110.10433142955095</v>
      </c>
      <c r="G13">
        <v>110.88323214470792</v>
      </c>
      <c r="H13">
        <v>108.53273528788958</v>
      </c>
      <c r="I13">
        <v>105.63075061374653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EAC4-154A-4762-868E-C013097AD8E6}">
  <dimension ref="A1:AB10"/>
  <sheetViews>
    <sheetView workbookViewId="0">
      <selection activeCell="B8" sqref="B8:I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B2">
        <v>0.69169341757903102</v>
      </c>
      <c r="C2">
        <v>40.82860255182468</v>
      </c>
      <c r="D2">
        <v>102.02545571663431</v>
      </c>
      <c r="E2">
        <v>107.42769855433932</v>
      </c>
      <c r="F2">
        <v>97.550128620807925</v>
      </c>
      <c r="G2">
        <v>94.027820009116269</v>
      </c>
      <c r="O2" t="s">
        <v>1</v>
      </c>
      <c r="P2">
        <f>AVERAGE(B2:B30)</f>
        <v>0.74414739244033068</v>
      </c>
      <c r="Q2">
        <f t="shared" ref="Q2:AB2" si="2">AVERAGE(C2:C30)</f>
        <v>14.72495365161223</v>
      </c>
      <c r="R2">
        <f t="shared" si="2"/>
        <v>32.418319209131504</v>
      </c>
      <c r="S2">
        <f t="shared" si="2"/>
        <v>93.758263507559832</v>
      </c>
      <c r="T2">
        <f t="shared" si="2"/>
        <v>103.38039098556256</v>
      </c>
      <c r="U2">
        <f t="shared" si="2"/>
        <v>103.25364482881866</v>
      </c>
      <c r="V2">
        <f t="shared" si="2"/>
        <v>108.65547030162979</v>
      </c>
      <c r="W2">
        <f t="shared" si="2"/>
        <v>107.38820432836296</v>
      </c>
      <c r="X2">
        <f t="shared" si="2"/>
        <v>114.3042350315899</v>
      </c>
      <c r="Y2">
        <f t="shared" si="2"/>
        <v>106.87012733250802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B3">
        <v>7.6745997682228895E-2</v>
      </c>
      <c r="C3">
        <v>29.84515946436035</v>
      </c>
      <c r="D3">
        <v>101.70917488517144</v>
      </c>
      <c r="E3">
        <v>104.50029089962858</v>
      </c>
      <c r="F3">
        <v>96.684149205119809</v>
      </c>
      <c r="G3">
        <v>94.716331861686072</v>
      </c>
      <c r="O3" t="s">
        <v>2</v>
      </c>
      <c r="P3">
        <f>_xlfn.STDEV.S(B2:B30)</f>
        <v>0.44425415192826773</v>
      </c>
      <c r="Q3">
        <f t="shared" ref="Q3:AB3" si="3">_xlfn.STDEV.S(C2:C30)</f>
        <v>19.213346466226103</v>
      </c>
      <c r="R3">
        <f t="shared" si="3"/>
        <v>47.526585649442183</v>
      </c>
      <c r="S3">
        <f t="shared" si="3"/>
        <v>21.401710571424946</v>
      </c>
      <c r="T3">
        <f t="shared" si="3"/>
        <v>6.2473636306230045</v>
      </c>
      <c r="U3">
        <f t="shared" si="3"/>
        <v>7.4034760358135898</v>
      </c>
      <c r="V3">
        <f t="shared" si="3"/>
        <v>2.9882983543501189</v>
      </c>
      <c r="W3">
        <f t="shared" si="3"/>
        <v>1.9582035709806138</v>
      </c>
      <c r="X3">
        <f t="shared" si="3"/>
        <v>5.4862475740417072</v>
      </c>
      <c r="Y3">
        <f t="shared" si="3"/>
        <v>2.8309303759111608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D5">
        <v>1.4938189979216661</v>
      </c>
      <c r="E5">
        <v>59.882984594956589</v>
      </c>
      <c r="F5">
        <v>100.66744256143342</v>
      </c>
      <c r="G5">
        <v>101.54850386820689</v>
      </c>
      <c r="H5">
        <v>108.12149064324196</v>
      </c>
      <c r="I5">
        <v>108.25911028108987</v>
      </c>
      <c r="J5">
        <v>118.18359789446303</v>
      </c>
      <c r="K5">
        <v>104.86835726663426</v>
      </c>
    </row>
    <row r="6" spans="1:28">
      <c r="D6">
        <v>1.5312237409484473</v>
      </c>
      <c r="E6">
        <v>65.479744496516474</v>
      </c>
      <c r="F6">
        <v>99.551625124568602</v>
      </c>
      <c r="G6">
        <v>103.82397555608019</v>
      </c>
      <c r="H6">
        <v>105.51081055263822</v>
      </c>
      <c r="I6">
        <v>106.11342559338537</v>
      </c>
      <c r="J6">
        <v>110.42487216871676</v>
      </c>
      <c r="K6">
        <v>108.87189739838179</v>
      </c>
    </row>
    <row r="8" spans="1:28">
      <c r="B8">
        <v>0.76985816869036716</v>
      </c>
      <c r="C8">
        <v>0.80094008149711482</v>
      </c>
      <c r="D8">
        <v>5.5513205195066728</v>
      </c>
      <c r="E8">
        <v>109.52608759021321</v>
      </c>
      <c r="F8">
        <v>111.00909880708424</v>
      </c>
      <c r="G8">
        <v>115.18333960648262</v>
      </c>
      <c r="H8">
        <v>111.72967502591928</v>
      </c>
      <c r="I8">
        <v>105.37301184374326</v>
      </c>
    </row>
    <row r="9" spans="1:28">
      <c r="B9">
        <v>0.86795800124410127</v>
      </c>
      <c r="C9">
        <v>0.88688036761395861</v>
      </c>
      <c r="D9">
        <v>4.7478615196111962</v>
      </c>
      <c r="E9">
        <v>106.82898680624203</v>
      </c>
      <c r="F9">
        <v>111.30216571477547</v>
      </c>
      <c r="G9">
        <v>107.4583653809438</v>
      </c>
      <c r="H9">
        <v>111.77835101160798</v>
      </c>
      <c r="I9">
        <v>106.87034474125281</v>
      </c>
    </row>
    <row r="10" spans="1:28">
      <c r="B10">
        <v>1.3144813770059254</v>
      </c>
      <c r="C10">
        <v>1.2631857927650361</v>
      </c>
      <c r="D10">
        <v>9.8693790841267859</v>
      </c>
      <c r="E10">
        <v>102.6620516110226</v>
      </c>
      <c r="F10">
        <v>106.89812686514831</v>
      </c>
      <c r="G10">
        <v>106.01717751921493</v>
      </c>
      <c r="H10">
        <v>106.13702427474156</v>
      </c>
      <c r="I10">
        <v>110.32512918234357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5078-2F6B-4B25-BE9F-C9F53C0ED43B}">
  <dimension ref="A1:AB16"/>
  <sheetViews>
    <sheetView workbookViewId="0">
      <selection activeCell="B14" sqref="B14:I1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115.95998027030623</v>
      </c>
      <c r="F2">
        <v>115.19896724418388</v>
      </c>
      <c r="G2">
        <v>95.234055613130934</v>
      </c>
      <c r="H2">
        <v>124.50788335241573</v>
      </c>
      <c r="I2">
        <v>108.88151173283975</v>
      </c>
      <c r="J2">
        <v>108.52794092276712</v>
      </c>
      <c r="O2" t="s">
        <v>1</v>
      </c>
      <c r="P2">
        <f>AVERAGE(B2:B30)</f>
        <v>16.367385714748274</v>
      </c>
      <c r="Q2">
        <f t="shared" ref="Q2:AB2" si="2">AVERAGE(C2:C30)</f>
        <v>30.699210104153565</v>
      </c>
      <c r="R2">
        <f t="shared" si="2"/>
        <v>68.565092329558553</v>
      </c>
      <c r="S2">
        <f t="shared" si="2"/>
        <v>97.723769620470776</v>
      </c>
      <c r="T2">
        <f t="shared" si="2"/>
        <v>102.48905236047203</v>
      </c>
      <c r="U2">
        <f t="shared" si="2"/>
        <v>98.109548066157174</v>
      </c>
      <c r="V2">
        <f t="shared" si="2"/>
        <v>105.78430098641518</v>
      </c>
      <c r="W2">
        <f t="shared" si="2"/>
        <v>105.79940918684082</v>
      </c>
      <c r="X2">
        <f t="shared" si="2"/>
        <v>109.31339724654471</v>
      </c>
      <c r="Y2">
        <f t="shared" si="2"/>
        <v>103.0944375443277</v>
      </c>
      <c r="Z2" t="e">
        <f t="shared" si="2"/>
        <v>#DIV/0!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119.28153778601288</v>
      </c>
      <c r="F3">
        <v>110.09195311093274</v>
      </c>
      <c r="G3">
        <v>88.691391538616998</v>
      </c>
      <c r="H3">
        <v>104.54834247744856</v>
      </c>
      <c r="I3">
        <v>106.75992596346411</v>
      </c>
      <c r="J3">
        <v>104.78385835699584</v>
      </c>
      <c r="O3" t="s">
        <v>2</v>
      </c>
      <c r="P3">
        <f>_xlfn.STDEV.S(B2:B30)</f>
        <v>25.467418556932955</v>
      </c>
      <c r="Q3">
        <f t="shared" ref="Q3:AB3" si="3">_xlfn.STDEV.S(C2:C30)</f>
        <v>50.393939648095625</v>
      </c>
      <c r="R3">
        <f t="shared" si="3"/>
        <v>44.091877258635208</v>
      </c>
      <c r="S3">
        <f t="shared" si="3"/>
        <v>19.352150538501256</v>
      </c>
      <c r="T3">
        <f t="shared" si="3"/>
        <v>7.1090608236309993</v>
      </c>
      <c r="U3">
        <f t="shared" si="3"/>
        <v>7.2132191328001927</v>
      </c>
      <c r="V3">
        <f t="shared" si="3"/>
        <v>7.2727168328302181</v>
      </c>
      <c r="W3">
        <f t="shared" si="3"/>
        <v>2.7336241041322742</v>
      </c>
      <c r="X3">
        <f t="shared" si="3"/>
        <v>3.5960421424401985</v>
      </c>
      <c r="Y3">
        <f t="shared" si="3"/>
        <v>2.232750876748796</v>
      </c>
      <c r="Z3" t="e">
        <f t="shared" si="3"/>
        <v>#DIV/0!</v>
      </c>
      <c r="AA3" t="e">
        <f t="shared" si="3"/>
        <v>#DIV/0!</v>
      </c>
      <c r="AB3" t="e">
        <f t="shared" si="3"/>
        <v>#DIV/0!</v>
      </c>
    </row>
    <row r="5" spans="1:28">
      <c r="B5">
        <v>61.481099811423121</v>
      </c>
      <c r="C5">
        <v>105.41668723528193</v>
      </c>
      <c r="D5">
        <v>104.75928829648788</v>
      </c>
      <c r="E5">
        <v>103.30827750597142</v>
      </c>
      <c r="F5">
        <v>95.630103552691352</v>
      </c>
      <c r="G5">
        <v>90.280453485658995</v>
      </c>
    </row>
    <row r="6" spans="1:28">
      <c r="B6">
        <v>44.312733294365678</v>
      </c>
      <c r="C6">
        <v>103.49337361490944</v>
      </c>
      <c r="D6">
        <v>97.173905865803974</v>
      </c>
      <c r="E6">
        <v>98.673522242161056</v>
      </c>
      <c r="F6">
        <v>90.133166064922989</v>
      </c>
      <c r="G6">
        <v>85.997748887422119</v>
      </c>
    </row>
    <row r="8" spans="1:28">
      <c r="D8">
        <v>51.69677924089445</v>
      </c>
      <c r="E8">
        <v>101.02181840481855</v>
      </c>
      <c r="F8">
        <v>104.34486647543312</v>
      </c>
      <c r="G8">
        <v>103.91108144264714</v>
      </c>
      <c r="H8">
        <v>103.57429335245556</v>
      </c>
      <c r="I8">
        <v>106.58097761603005</v>
      </c>
      <c r="J8">
        <v>113.30061400086248</v>
      </c>
      <c r="K8">
        <v>104.67323082997699</v>
      </c>
    </row>
    <row r="9" spans="1:28">
      <c r="D9">
        <v>54.252945623513362</v>
      </c>
      <c r="E9">
        <v>98.84113332343837</v>
      </c>
      <c r="F9">
        <v>96.007458973482571</v>
      </c>
      <c r="G9">
        <v>102.23788861843552</v>
      </c>
      <c r="H9">
        <v>101.29807761509643</v>
      </c>
      <c r="I9">
        <v>101.1552458937892</v>
      </c>
      <c r="J9">
        <v>110.64117570555339</v>
      </c>
      <c r="K9">
        <v>101.51564425867842</v>
      </c>
    </row>
    <row r="11" spans="1:28">
      <c r="B11">
        <v>0.2692459116577251</v>
      </c>
      <c r="C11">
        <v>0.15495495757653358</v>
      </c>
      <c r="D11">
        <v>0.10488551563915859</v>
      </c>
      <c r="E11">
        <v>61.555851194124578</v>
      </c>
      <c r="F11">
        <v>104.03812992323031</v>
      </c>
      <c r="G11">
        <v>104.03349798815793</v>
      </c>
      <c r="H11">
        <v>105.5797803693472</v>
      </c>
      <c r="I11">
        <v>110.11356839827795</v>
      </c>
    </row>
    <row r="12" spans="1:28">
      <c r="B12">
        <v>0.26795315520716423</v>
      </c>
      <c r="C12">
        <v>0.17532462336124219</v>
      </c>
      <c r="D12">
        <v>0.10975981451824603</v>
      </c>
      <c r="E12">
        <v>60.097774835907892</v>
      </c>
      <c r="F12">
        <v>106.43473972262866</v>
      </c>
      <c r="G12">
        <v>108.78195412200451</v>
      </c>
      <c r="H12">
        <v>103.25596850011796</v>
      </c>
      <c r="I12">
        <v>105.7857750906724</v>
      </c>
    </row>
    <row r="14" spans="1:28">
      <c r="B14">
        <v>2.2204953477751821</v>
      </c>
      <c r="C14">
        <v>1.6533274091049932</v>
      </c>
      <c r="D14">
        <v>101.40772233437619</v>
      </c>
      <c r="E14">
        <v>106.60396814144201</v>
      </c>
      <c r="F14">
        <v>100.59821101596528</v>
      </c>
      <c r="G14">
        <v>98.868514790995036</v>
      </c>
      <c r="H14">
        <v>99.842696814610491</v>
      </c>
      <c r="I14">
        <v>104.98313501032763</v>
      </c>
    </row>
    <row r="15" spans="1:28">
      <c r="B15">
        <v>2.8767494000311964</v>
      </c>
      <c r="C15">
        <v>1.8632087881250401</v>
      </c>
      <c r="D15">
        <v>104.70955466087759</v>
      </c>
      <c r="E15">
        <v>105.28791383554949</v>
      </c>
      <c r="F15">
        <v>99.342376948909546</v>
      </c>
      <c r="G15">
        <v>99.395459330900437</v>
      </c>
      <c r="H15">
        <v>103.71312519078511</v>
      </c>
      <c r="I15">
        <v>104.73819276857061</v>
      </c>
    </row>
    <row r="16" spans="1:28">
      <c r="B16">
        <v>3.1434230827778413</v>
      </c>
      <c r="C16">
        <v>2.1375941007157793</v>
      </c>
      <c r="D16">
        <v>102.87098961391611</v>
      </c>
      <c r="E16">
        <v>104.32968828544603</v>
      </c>
      <c r="F16">
        <v>105.5596029328118</v>
      </c>
      <c r="G16">
        <v>101.77298290975938</v>
      </c>
      <c r="H16">
        <v>105.73854120545941</v>
      </c>
      <c r="I16">
        <v>103.19635020759586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4B71A-C062-4362-8282-5F458A39C886}">
  <dimension ref="A1:AB9"/>
  <sheetViews>
    <sheetView workbookViewId="0">
      <selection activeCell="V8" sqref="V8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0.10771362640054233</v>
      </c>
      <c r="F2">
        <v>4.0793432257406559E-2</v>
      </c>
      <c r="G2">
        <v>2.9300703084888888E-2</v>
      </c>
      <c r="H2">
        <v>2.6697911735775178E-2</v>
      </c>
      <c r="I2">
        <v>3.7928792905630004E-2</v>
      </c>
      <c r="J2">
        <v>59.048291973811686</v>
      </c>
      <c r="K2">
        <v>104.25419993153101</v>
      </c>
      <c r="L2">
        <v>99.57786905248723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0.35813832002235046</v>
      </c>
      <c r="T2">
        <f t="shared" si="2"/>
        <v>0.11426245297785199</v>
      </c>
      <c r="U2">
        <f t="shared" si="2"/>
        <v>5.5850473209518581E-2</v>
      </c>
      <c r="V2">
        <f t="shared" si="2"/>
        <v>5.9945476022155421E-2</v>
      </c>
      <c r="W2">
        <f t="shared" si="2"/>
        <v>0.1711445593869739</v>
      </c>
      <c r="X2">
        <f t="shared" si="2"/>
        <v>61.176199640909239</v>
      </c>
      <c r="Y2">
        <f t="shared" si="2"/>
        <v>105.27690411949595</v>
      </c>
      <c r="Z2">
        <f t="shared" si="2"/>
        <v>103.01895233230147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0.11851391839415087</v>
      </c>
      <c r="F3">
        <v>3.4078985333050822E-2</v>
      </c>
      <c r="G3">
        <v>2.5710707031244843E-2</v>
      </c>
      <c r="H3">
        <v>2.4701372249447642E-2</v>
      </c>
      <c r="I3">
        <v>2.9542315363162923E-2</v>
      </c>
      <c r="J3">
        <v>38.928390334775173</v>
      </c>
      <c r="K3">
        <v>99.619697143643194</v>
      </c>
      <c r="L3">
        <v>96.579181782703586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0.34313609922854238</v>
      </c>
      <c r="T3">
        <f t="shared" si="3"/>
        <v>0.11108489039657984</v>
      </c>
      <c r="U3">
        <f t="shared" si="3"/>
        <v>2.9794522245256232E-2</v>
      </c>
      <c r="V3">
        <f t="shared" si="3"/>
        <v>4.1308103338984735E-2</v>
      </c>
      <c r="W3">
        <f t="shared" si="3"/>
        <v>0.11855825287285354</v>
      </c>
      <c r="X3">
        <f t="shared" si="3"/>
        <v>11.707240999107647</v>
      </c>
      <c r="Y3">
        <f t="shared" si="3"/>
        <v>9.8182419944587949</v>
      </c>
      <c r="Z3">
        <f t="shared" si="3"/>
        <v>6.9386517663965313</v>
      </c>
      <c r="AA3" t="e">
        <f t="shared" si="3"/>
        <v>#DIV/0!</v>
      </c>
      <c r="AB3" t="e">
        <f t="shared" si="3"/>
        <v>#DIV/0!</v>
      </c>
    </row>
    <row r="5" spans="1:28">
      <c r="E5">
        <v>0.63558631479449379</v>
      </c>
      <c r="F5">
        <v>0.20251711556594104</v>
      </c>
      <c r="G5">
        <v>7.3436992472708268E-2</v>
      </c>
      <c r="H5">
        <v>3.8099116823059165E-2</v>
      </c>
      <c r="I5">
        <v>0.17142697428284831</v>
      </c>
      <c r="J5">
        <v>66.599107861854307</v>
      </c>
      <c r="K5">
        <v>117.72370384790085</v>
      </c>
      <c r="L5">
        <v>115.13282930287703</v>
      </c>
    </row>
    <row r="6" spans="1:28">
      <c r="E6">
        <v>0.93002031703262678</v>
      </c>
      <c r="F6">
        <v>0.29926618292132989</v>
      </c>
      <c r="G6">
        <v>0.10097586464997388</v>
      </c>
      <c r="H6">
        <v>5.7805556559124248E-2</v>
      </c>
      <c r="I6">
        <v>0.27763716487113477</v>
      </c>
      <c r="J6">
        <v>68.215090344821348</v>
      </c>
      <c r="K6">
        <v>116.38180520407501</v>
      </c>
      <c r="L6">
        <v>107.32393191418375</v>
      </c>
    </row>
    <row r="8" spans="1:28">
      <c r="E8">
        <v>0.17607482372325561</v>
      </c>
      <c r="F8">
        <v>3.5696143443579499E-2</v>
      </c>
      <c r="G8">
        <v>3.7647991281517808E-2</v>
      </c>
      <c r="H8">
        <v>7.947937828051134E-2</v>
      </c>
      <c r="I8">
        <v>0.19590948256314905</v>
      </c>
      <c r="J8">
        <v>62.897606071394883</v>
      </c>
      <c r="K8">
        <v>93.074766463861522</v>
      </c>
      <c r="L8">
        <v>100.36685393906534</v>
      </c>
    </row>
    <row r="9" spans="1:28">
      <c r="E9">
        <v>0.1809209197890333</v>
      </c>
      <c r="F9">
        <v>7.3222858345804095E-2</v>
      </c>
      <c r="G9">
        <v>6.8030580736777799E-2</v>
      </c>
      <c r="H9">
        <v>0.13288952048501496</v>
      </c>
      <c r="I9">
        <v>0.31442262633591828</v>
      </c>
      <c r="J9">
        <v>71.368711258798072</v>
      </c>
      <c r="K9">
        <v>100.6072521259641</v>
      </c>
      <c r="L9">
        <v>99.133048002491833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D4C1-2B3F-4C1F-83A1-4E838713309C}">
  <dimension ref="A1:AB9"/>
  <sheetViews>
    <sheetView workbookViewId="0">
      <selection activeCell="E8" sqref="A1:XFD1048576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E2">
        <v>0.10964224997082957</v>
      </c>
      <c r="F2">
        <v>3.4775767561049997E-2</v>
      </c>
      <c r="G2">
        <v>2.629144168698138E-2</v>
      </c>
      <c r="H2">
        <v>3.2176787535464692E-2</v>
      </c>
      <c r="I2">
        <v>14.382092552576156</v>
      </c>
      <c r="J2">
        <v>81.989171347027153</v>
      </c>
      <c r="K2">
        <v>102.22751770937084</v>
      </c>
      <c r="L2">
        <v>102.14802797820685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>
        <f t="shared" si="2"/>
        <v>0.58661664608689545</v>
      </c>
      <c r="T2">
        <f t="shared" si="2"/>
        <v>0.27619611350595524</v>
      </c>
      <c r="U2">
        <f t="shared" si="2"/>
        <v>0.19193341722483895</v>
      </c>
      <c r="V2">
        <f t="shared" si="2"/>
        <v>0.2088009983734154</v>
      </c>
      <c r="W2">
        <f t="shared" si="2"/>
        <v>21.848460951988457</v>
      </c>
      <c r="X2">
        <f t="shared" si="2"/>
        <v>83.145740975173013</v>
      </c>
      <c r="Y2">
        <f t="shared" si="2"/>
        <v>103.82584462163402</v>
      </c>
      <c r="Z2">
        <f t="shared" si="2"/>
        <v>101.98716938406193</v>
      </c>
      <c r="AA2" t="e">
        <f t="shared" si="2"/>
        <v>#DIV/0!</v>
      </c>
      <c r="AB2" t="e">
        <f t="shared" si="2"/>
        <v>#DIV/0!</v>
      </c>
    </row>
    <row r="3" spans="1:28">
      <c r="A3" s="1"/>
      <c r="E3">
        <v>0.12873562331667324</v>
      </c>
      <c r="F3">
        <v>4.377059268613033E-2</v>
      </c>
      <c r="G3">
        <v>3.0303790217524725E-2</v>
      </c>
      <c r="H3">
        <v>3.8444992899516257E-2</v>
      </c>
      <c r="I3">
        <v>10.042617213139797</v>
      </c>
      <c r="J3">
        <v>73.861989894295718</v>
      </c>
      <c r="K3">
        <v>104.47954773230072</v>
      </c>
      <c r="L3">
        <v>103.24717459661886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>
        <f t="shared" si="3"/>
        <v>0.52172853690536602</v>
      </c>
      <c r="T3">
        <f t="shared" si="3"/>
        <v>0.24569404144170917</v>
      </c>
      <c r="U3">
        <f t="shared" si="3"/>
        <v>0.16894806023333889</v>
      </c>
      <c r="V3">
        <f t="shared" si="3"/>
        <v>0.17047261284064677</v>
      </c>
      <c r="W3">
        <f t="shared" si="3"/>
        <v>7.6032267149859427</v>
      </c>
      <c r="X3">
        <f t="shared" si="3"/>
        <v>5.9180051561794391</v>
      </c>
      <c r="Y3">
        <f t="shared" si="3"/>
        <v>3.5943973158307827</v>
      </c>
      <c r="Z3">
        <f t="shared" si="3"/>
        <v>1.2194625465277815</v>
      </c>
      <c r="AA3" t="e">
        <f t="shared" si="3"/>
        <v>#DIV/0!</v>
      </c>
      <c r="AB3" t="e">
        <f t="shared" si="3"/>
        <v>#DIV/0!</v>
      </c>
    </row>
    <row r="5" spans="1:28">
      <c r="E5">
        <v>1.1071153073086994</v>
      </c>
      <c r="F5">
        <v>0.41159348993563727</v>
      </c>
      <c r="G5">
        <v>0.16382098320834923</v>
      </c>
      <c r="H5">
        <v>0.16356344980934021</v>
      </c>
      <c r="I5">
        <v>26.778011384987096</v>
      </c>
      <c r="J5">
        <v>82.2667185421775</v>
      </c>
      <c r="K5">
        <v>108.70092790863669</v>
      </c>
      <c r="L5">
        <v>102.35869571693269</v>
      </c>
    </row>
    <row r="6" spans="1:28">
      <c r="E6">
        <v>1.3374474419008919</v>
      </c>
      <c r="F6">
        <v>0.65264625097363993</v>
      </c>
      <c r="G6">
        <v>0.43779745512576085</v>
      </c>
      <c r="H6">
        <v>0.31793056107518336</v>
      </c>
      <c r="I6">
        <v>25.858144178780943</v>
      </c>
      <c r="J6">
        <v>82.243193601216063</v>
      </c>
      <c r="K6">
        <v>107.17539419894881</v>
      </c>
      <c r="L6">
        <v>102.98664855493396</v>
      </c>
    </row>
    <row r="8" spans="1:28">
      <c r="E8">
        <v>0.29076576394666065</v>
      </c>
      <c r="F8">
        <v>0.13729285939838268</v>
      </c>
      <c r="G8">
        <v>0.14200558114958473</v>
      </c>
      <c r="H8">
        <v>0.2257214343166522</v>
      </c>
      <c r="I8">
        <v>26.73438846310825</v>
      </c>
      <c r="J8">
        <v>86.878276931316435</v>
      </c>
      <c r="K8">
        <v>99.929619245937104</v>
      </c>
      <c r="L8">
        <v>99.96366069471523</v>
      </c>
    </row>
    <row r="9" spans="1:28">
      <c r="E9">
        <v>0.54599349007761833</v>
      </c>
      <c r="F9">
        <v>0.37709772048089113</v>
      </c>
      <c r="G9">
        <v>0.35138125196083286</v>
      </c>
      <c r="H9">
        <v>0.47496876460433574</v>
      </c>
      <c r="I9">
        <v>27.295511919338502</v>
      </c>
      <c r="J9">
        <v>91.635095535005163</v>
      </c>
      <c r="K9">
        <v>100.44206093460988</v>
      </c>
      <c r="L9">
        <v>101.2188087629639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09092-228A-4C0A-BB5E-B493FD379F53}">
  <dimension ref="A1:AB10"/>
  <sheetViews>
    <sheetView workbookViewId="0">
      <selection activeCell="G9" sqref="G9:N10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0.10823897190605186</v>
      </c>
      <c r="G2">
        <v>5.979951883939464E-2</v>
      </c>
      <c r="H2">
        <v>83.843637190078283</v>
      </c>
      <c r="I2">
        <v>101.16543772229596</v>
      </c>
      <c r="J2">
        <v>94.667877284501159</v>
      </c>
      <c r="K2">
        <v>95.088876046054878</v>
      </c>
      <c r="L2">
        <v>94.717199450688383</v>
      </c>
      <c r="M2">
        <v>93.67452242392288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0.11581922563888611</v>
      </c>
      <c r="U2">
        <f t="shared" si="2"/>
        <v>0.97799399817527011</v>
      </c>
      <c r="V2">
        <f t="shared" si="2"/>
        <v>72.195764005139765</v>
      </c>
      <c r="W2">
        <f t="shared" si="2"/>
        <v>98.886869127846694</v>
      </c>
      <c r="X2">
        <f t="shared" si="2"/>
        <v>101.60661004714302</v>
      </c>
      <c r="Y2">
        <f t="shared" si="2"/>
        <v>98.370889282224425</v>
      </c>
      <c r="Z2">
        <f t="shared" si="2"/>
        <v>97.537687618269928</v>
      </c>
      <c r="AA2">
        <f t="shared" si="2"/>
        <v>100.37377598860417</v>
      </c>
      <c r="AB2">
        <f t="shared" si="2"/>
        <v>108.90286293364959</v>
      </c>
    </row>
    <row r="3" spans="1:28">
      <c r="A3" s="1"/>
      <c r="F3">
        <v>0.12339947937172037</v>
      </c>
      <c r="G3">
        <v>5.8781035550159205E-2</v>
      </c>
      <c r="H3">
        <v>85.579005044018444</v>
      </c>
      <c r="I3">
        <v>97.975045153227029</v>
      </c>
      <c r="J3">
        <v>101.47742610411095</v>
      </c>
      <c r="K3">
        <v>97.055138163450508</v>
      </c>
      <c r="L3">
        <v>90.482358392934529</v>
      </c>
      <c r="M3">
        <v>92.944776655010585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1.0720097635203481E-2</v>
      </c>
      <c r="U3">
        <f t="shared" si="3"/>
        <v>1.8484521247875476</v>
      </c>
      <c r="V3">
        <f t="shared" si="3"/>
        <v>28.332045917993412</v>
      </c>
      <c r="W3">
        <f t="shared" si="3"/>
        <v>2.5096961997647194</v>
      </c>
      <c r="X3">
        <f t="shared" si="3"/>
        <v>5.5399345257019181</v>
      </c>
      <c r="Y3">
        <f t="shared" si="3"/>
        <v>5.3453021164375425</v>
      </c>
      <c r="Z3">
        <f t="shared" si="3"/>
        <v>5.8138424422591664</v>
      </c>
      <c r="AA3">
        <f t="shared" si="3"/>
        <v>5.7780033957644052</v>
      </c>
      <c r="AB3">
        <f t="shared" si="3"/>
        <v>0.16665821659522559</v>
      </c>
    </row>
    <row r="5" spans="1:28">
      <c r="G5">
        <v>0.10627662981763124</v>
      </c>
      <c r="H5">
        <v>42.306315482516325</v>
      </c>
      <c r="I5">
        <v>97.625930478605127</v>
      </c>
      <c r="J5">
        <v>103.31436955156516</v>
      </c>
      <c r="K5">
        <v>92.198018022015134</v>
      </c>
      <c r="L5">
        <v>92.882956068875046</v>
      </c>
      <c r="M5">
        <v>106.15893792574258</v>
      </c>
    </row>
    <row r="6" spans="1:28">
      <c r="G6">
        <v>0.23889710786142027</v>
      </c>
      <c r="H6">
        <v>57.620682957724554</v>
      </c>
      <c r="I6">
        <v>103.45691891767319</v>
      </c>
      <c r="J6">
        <v>110.7788032630544</v>
      </c>
      <c r="K6">
        <v>96.613561541894413</v>
      </c>
      <c r="L6">
        <v>97.199075915586008</v>
      </c>
      <c r="M6">
        <v>100.59728987742196</v>
      </c>
    </row>
    <row r="7" spans="1:28">
      <c r="G7">
        <v>0.11431843611824782</v>
      </c>
      <c r="H7">
        <v>31.985178952106612</v>
      </c>
      <c r="I7">
        <v>98.16929460365418</v>
      </c>
      <c r="J7">
        <v>105.74807976113505</v>
      </c>
      <c r="K7">
        <v>95.943634890118844</v>
      </c>
      <c r="L7">
        <v>96.747218834772653</v>
      </c>
      <c r="M7">
        <v>97.884584666325296</v>
      </c>
    </row>
    <row r="9" spans="1:28">
      <c r="G9">
        <v>5.0658197103913167</v>
      </c>
      <c r="H9">
        <v>101.87955727124769</v>
      </c>
      <c r="I9">
        <v>97.594722891608939</v>
      </c>
      <c r="J9">
        <v>97.909211310380712</v>
      </c>
      <c r="K9">
        <v>105.94161958767255</v>
      </c>
      <c r="L9">
        <v>105.5314202700206</v>
      </c>
      <c r="M9">
        <v>104.21959992575978</v>
      </c>
      <c r="N9">
        <v>109.02070808874453</v>
      </c>
    </row>
    <row r="10" spans="1:28">
      <c r="G10">
        <v>1.2020655486487202</v>
      </c>
      <c r="H10">
        <v>102.15597113828652</v>
      </c>
      <c r="I10">
        <v>96.2207341278624</v>
      </c>
      <c r="J10">
        <v>97.350503055253796</v>
      </c>
      <c r="K10">
        <v>105.75537672436457</v>
      </c>
      <c r="L10">
        <v>105.20358439501234</v>
      </c>
      <c r="M10">
        <v>107.13672044604607</v>
      </c>
      <c r="N10">
        <v>108.78501777855465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356E-E5F8-4B9C-9FED-725708AAA131}">
  <dimension ref="A1:AB6"/>
  <sheetViews>
    <sheetView workbookViewId="0">
      <selection activeCell="O31" sqref="O31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0.11399761427673213</v>
      </c>
      <c r="G2">
        <v>7.9659942979485573E-2</v>
      </c>
      <c r="H2">
        <v>113.78892171699822</v>
      </c>
      <c r="I2">
        <v>100.54793536257034</v>
      </c>
      <c r="J2">
        <v>100.33108767255024</v>
      </c>
      <c r="K2">
        <v>97.48869285393215</v>
      </c>
      <c r="L2">
        <v>90.885271511650316</v>
      </c>
      <c r="M2">
        <v>94.085826073929198</v>
      </c>
      <c r="O2" t="s">
        <v>1</v>
      </c>
      <c r="P2" t="e">
        <f>AVERAGE(B2:B30)</f>
        <v>#DIV/0!</v>
      </c>
      <c r="Q2" t="e">
        <f t="shared" ref="Q2:AB2" si="2">AVERAGE(C2:C30)</f>
        <v>#DIV/0!</v>
      </c>
      <c r="R2" t="e">
        <f t="shared" si="2"/>
        <v>#DIV/0!</v>
      </c>
      <c r="S2" t="e">
        <f t="shared" si="2"/>
        <v>#DIV/0!</v>
      </c>
      <c r="T2">
        <f t="shared" si="2"/>
        <v>0.11194095628720346</v>
      </c>
      <c r="U2">
        <f t="shared" si="2"/>
        <v>0.18711505062825154</v>
      </c>
      <c r="V2">
        <f t="shared" si="2"/>
        <v>59.556044323463077</v>
      </c>
      <c r="W2">
        <f t="shared" si="2"/>
        <v>99.920283350222093</v>
      </c>
      <c r="X2">
        <f t="shared" si="2"/>
        <v>98.322305031818985</v>
      </c>
      <c r="Y2">
        <f t="shared" si="2"/>
        <v>100.22082481030361</v>
      </c>
      <c r="Z2">
        <f t="shared" si="2"/>
        <v>96.732026689860803</v>
      </c>
      <c r="AA2">
        <f>AVERAGE(M2:M30)</f>
        <v>98.554579068956755</v>
      </c>
      <c r="AB2">
        <f t="shared" si="2"/>
        <v>104.74128718063321</v>
      </c>
    </row>
    <row r="3" spans="1:28">
      <c r="A3" s="1"/>
      <c r="F3">
        <v>0.10988429829767481</v>
      </c>
      <c r="G3">
        <v>0.4055018467284498</v>
      </c>
      <c r="H3">
        <v>118.97405992098938</v>
      </c>
      <c r="I3">
        <v>99.881986502478398</v>
      </c>
      <c r="J3">
        <v>100.79881109999724</v>
      </c>
      <c r="K3">
        <v>99.051399202532707</v>
      </c>
      <c r="L3">
        <v>88.649862719092525</v>
      </c>
      <c r="M3">
        <v>97.532108418973209</v>
      </c>
      <c r="O3" t="s">
        <v>2</v>
      </c>
      <c r="P3" t="e">
        <f>_xlfn.STDEV.S(B2:B30)</f>
        <v>#DIV/0!</v>
      </c>
      <c r="Q3" t="e">
        <f t="shared" ref="Q3:AB3" si="3">_xlfn.STDEV.S(C2:C30)</f>
        <v>#DIV/0!</v>
      </c>
      <c r="R3" t="e">
        <f t="shared" si="3"/>
        <v>#DIV/0!</v>
      </c>
      <c r="S3" t="e">
        <f t="shared" si="3"/>
        <v>#DIV/0!</v>
      </c>
      <c r="T3">
        <f t="shared" si="3"/>
        <v>2.9085536219544189E-3</v>
      </c>
      <c r="U3">
        <f t="shared" si="3"/>
        <v>0.14780185266507037</v>
      </c>
      <c r="V3">
        <f t="shared" si="3"/>
        <v>65.650509791209103</v>
      </c>
      <c r="W3">
        <f t="shared" si="3"/>
        <v>4.5857918838109599</v>
      </c>
      <c r="X3">
        <f t="shared" si="3"/>
        <v>2.6222397015339838</v>
      </c>
      <c r="Y3">
        <f t="shared" si="3"/>
        <v>2.5794332875214465</v>
      </c>
      <c r="Z3">
        <f t="shared" si="3"/>
        <v>8.177154752140817</v>
      </c>
      <c r="AA3">
        <f>_xlfn.STDEV.S(M2:M30)</f>
        <v>3.9455506258373152</v>
      </c>
      <c r="AB3">
        <f t="shared" si="3"/>
        <v>1.8003843691367507</v>
      </c>
    </row>
    <row r="5" spans="1:28">
      <c r="G5">
        <v>0.14013007698347174</v>
      </c>
      <c r="H5">
        <v>2.72997574120985</v>
      </c>
      <c r="I5">
        <v>105.21664226184046</v>
      </c>
      <c r="J5">
        <v>96.527558965115134</v>
      </c>
      <c r="K5">
        <v>103.49773542255352</v>
      </c>
      <c r="L5">
        <v>105.12551821424981</v>
      </c>
      <c r="M5">
        <v>103.60346476822183</v>
      </c>
      <c r="N5">
        <v>106.01435117679208</v>
      </c>
    </row>
    <row r="6" spans="1:28">
      <c r="G6">
        <v>0.12316833582159901</v>
      </c>
      <c r="H6">
        <v>2.7312199146548859</v>
      </c>
      <c r="I6">
        <v>94.03456927399921</v>
      </c>
      <c r="J6">
        <v>95.631762389613286</v>
      </c>
      <c r="K6">
        <v>100.84547176219607</v>
      </c>
      <c r="L6">
        <v>102.26745431445056</v>
      </c>
      <c r="M6">
        <v>98.99691701470276</v>
      </c>
      <c r="N6">
        <v>103.46822318447435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CBD3-68B1-444A-BD1A-B322544D610C}">
  <dimension ref="A1:AB9"/>
  <sheetViews>
    <sheetView tabSelected="1" topLeftCell="B1" workbookViewId="0">
      <selection activeCell="U3" sqref="U3:AA3"/>
    </sheetView>
  </sheetViews>
  <sheetFormatPr defaultRowHeight="15"/>
  <sheetData>
    <row r="1" spans="1:28">
      <c r="A1" s="1" t="s">
        <v>0</v>
      </c>
      <c r="B1">
        <v>1024</v>
      </c>
      <c r="C1">
        <f>B1/2</f>
        <v>512</v>
      </c>
      <c r="D1">
        <f t="shared" ref="D1:N1" si="0">C1/2</f>
        <v>256</v>
      </c>
      <c r="E1">
        <f t="shared" si="0"/>
        <v>128</v>
      </c>
      <c r="F1">
        <f t="shared" si="0"/>
        <v>64</v>
      </c>
      <c r="G1">
        <f t="shared" si="0"/>
        <v>32</v>
      </c>
      <c r="H1">
        <f t="shared" si="0"/>
        <v>16</v>
      </c>
      <c r="I1">
        <f t="shared" si="0"/>
        <v>8</v>
      </c>
      <c r="J1">
        <f t="shared" si="0"/>
        <v>4</v>
      </c>
      <c r="K1">
        <f t="shared" si="0"/>
        <v>2</v>
      </c>
      <c r="L1">
        <f t="shared" si="0"/>
        <v>1</v>
      </c>
      <c r="M1">
        <f t="shared" si="0"/>
        <v>0.5</v>
      </c>
      <c r="N1">
        <f t="shared" si="0"/>
        <v>0.25</v>
      </c>
      <c r="O1" t="s">
        <v>0</v>
      </c>
      <c r="P1">
        <v>1024</v>
      </c>
      <c r="Q1">
        <f>P1/2</f>
        <v>512</v>
      </c>
      <c r="R1">
        <f t="shared" ref="R1:AB1" si="1">Q1/2</f>
        <v>256</v>
      </c>
      <c r="S1">
        <f t="shared" si="1"/>
        <v>128</v>
      </c>
      <c r="T1">
        <f t="shared" si="1"/>
        <v>64</v>
      </c>
      <c r="U1">
        <f t="shared" si="1"/>
        <v>32</v>
      </c>
      <c r="V1">
        <f t="shared" si="1"/>
        <v>16</v>
      </c>
      <c r="W1">
        <f t="shared" si="1"/>
        <v>8</v>
      </c>
      <c r="X1">
        <f t="shared" si="1"/>
        <v>4</v>
      </c>
      <c r="Y1">
        <f t="shared" si="1"/>
        <v>2</v>
      </c>
      <c r="Z1">
        <f t="shared" si="1"/>
        <v>1</v>
      </c>
      <c r="AA1">
        <f t="shared" si="1"/>
        <v>0.5</v>
      </c>
      <c r="AB1">
        <f t="shared" si="1"/>
        <v>0.25</v>
      </c>
    </row>
    <row r="2" spans="1:28">
      <c r="A2" s="1"/>
      <c r="F2">
        <v>4.4781928293547983E-2</v>
      </c>
      <c r="G2">
        <v>3.3527266557516783E-2</v>
      </c>
      <c r="H2">
        <v>3.9188363578873099E-2</v>
      </c>
      <c r="I2">
        <v>3.7951122026019551E-2</v>
      </c>
      <c r="J2">
        <v>3.4881234806031398</v>
      </c>
      <c r="K2">
        <v>104.20473632267118</v>
      </c>
      <c r="L2">
        <v>99.628812706291896</v>
      </c>
      <c r="M2">
        <v>101.88145642739256</v>
      </c>
      <c r="O2" t="s">
        <v>1</v>
      </c>
      <c r="P2" t="e">
        <f>AVERAGE(B2:B30)</f>
        <v>#DIV/0!</v>
      </c>
      <c r="Q2" t="e">
        <f t="shared" ref="Q2:S2" si="2">AVERAGE(C2:C30)</f>
        <v>#DIV/0!</v>
      </c>
      <c r="R2" t="e">
        <f t="shared" si="2"/>
        <v>#DIV/0!</v>
      </c>
      <c r="S2" t="e">
        <f t="shared" si="2"/>
        <v>#DIV/0!</v>
      </c>
      <c r="T2">
        <f>AVERAGE(F2:F30)</f>
        <v>4.6898892176515702E-2</v>
      </c>
      <c r="U2">
        <f>AVERAGE(G2:G30)</f>
        <v>0.39652589433860674</v>
      </c>
      <c r="V2">
        <f>AVERAGE(H2:H30)</f>
        <v>0.99443707226965194</v>
      </c>
      <c r="W2">
        <f>AVERAGE(I2:I30)</f>
        <v>1.4712398649392664</v>
      </c>
      <c r="X2">
        <f>AVERAGE(J2:J30)</f>
        <v>76.532655111550923</v>
      </c>
      <c r="Y2">
        <f>AVERAGE(K2:K30)</f>
        <v>133.35800997506217</v>
      </c>
      <c r="Z2">
        <f>AVERAGE(L2:L30)</f>
        <v>141.05529514166329</v>
      </c>
      <c r="AA2">
        <f>AVERAGE(M2:M30)</f>
        <v>130.21587657678597</v>
      </c>
      <c r="AB2">
        <f>AVERAGE(N2:N30)</f>
        <v>142.7213191075752</v>
      </c>
    </row>
    <row r="3" spans="1:28">
      <c r="A3" s="1"/>
      <c r="F3">
        <v>4.9015856059483429E-2</v>
      </c>
      <c r="G3">
        <v>3.1698506563470417E-2</v>
      </c>
      <c r="H3">
        <v>1.1986929923889638</v>
      </c>
      <c r="I3">
        <v>2.1754255881966893</v>
      </c>
      <c r="J3">
        <v>2.437466846711918</v>
      </c>
      <c r="K3">
        <v>107.29355355978223</v>
      </c>
      <c r="L3">
        <v>102.82313302167219</v>
      </c>
      <c r="M3">
        <v>102.25317005915633</v>
      </c>
      <c r="O3" t="s">
        <v>2</v>
      </c>
      <c r="P3" t="e">
        <f>_xlfn.STDEV.S(B2:B30)</f>
        <v>#DIV/0!</v>
      </c>
      <c r="Q3" t="e">
        <f t="shared" ref="Q3:S3" si="3">_xlfn.STDEV.S(C2:C30)</f>
        <v>#DIV/0!</v>
      </c>
      <c r="R3" t="e">
        <f t="shared" si="3"/>
        <v>#DIV/0!</v>
      </c>
      <c r="S3" t="e">
        <f t="shared" si="3"/>
        <v>#DIV/0!</v>
      </c>
      <c r="T3">
        <f>_xlfn.STDEV.S(F2:F30)</f>
        <v>2.9938390343469631E-3</v>
      </c>
      <c r="U3">
        <f>_xlfn.STDEV.S(G2:G30)</f>
        <v>0.80117392094529638</v>
      </c>
      <c r="V3">
        <f>_xlfn.STDEV.S(H2:H30)</f>
        <v>1.5449127136007643</v>
      </c>
      <c r="W3">
        <f>_xlfn.STDEV.S(I2:I30)</f>
        <v>1.0853776098788968</v>
      </c>
      <c r="X3">
        <f>_xlfn.STDEV.S(J2:J30)</f>
        <v>57.928610093277364</v>
      </c>
      <c r="Y3">
        <f>_xlfn.STDEV.S(K2:K30)</f>
        <v>21.753600272010264</v>
      </c>
      <c r="Z3">
        <f>_xlfn.STDEV.S(L2:L30)</f>
        <v>31.335703808540607</v>
      </c>
      <c r="AA3">
        <f>_xlfn.STDEV.S(M2:M30)</f>
        <v>22.905249527916396</v>
      </c>
      <c r="AB3">
        <f>_xlfn.STDEV.S(N2:N30)</f>
        <v>7.8751050311500137</v>
      </c>
    </row>
    <row r="5" spans="1:28">
      <c r="G5">
        <v>9.7994707463176164E-2</v>
      </c>
      <c r="H5">
        <v>4.0142108110164401</v>
      </c>
      <c r="I5">
        <v>1.1464550641000304</v>
      </c>
      <c r="J5">
        <v>99.137530534865945</v>
      </c>
      <c r="K5">
        <v>150.9605429656045</v>
      </c>
      <c r="L5">
        <v>168.0486249834106</v>
      </c>
      <c r="M5">
        <v>154.39456571250014</v>
      </c>
      <c r="N5">
        <v>153.59912855173829</v>
      </c>
    </row>
    <row r="6" spans="1:28">
      <c r="G6">
        <v>9.3058982428304737E-2</v>
      </c>
      <c r="H6">
        <v>7.190766869771037E-2</v>
      </c>
      <c r="I6">
        <v>0.44081123101044833</v>
      </c>
      <c r="J6">
        <v>124.82083714238614</v>
      </c>
      <c r="K6">
        <v>146.5785442043267</v>
      </c>
      <c r="L6">
        <v>151.38006511837463</v>
      </c>
      <c r="M6">
        <v>135.06216099830704</v>
      </c>
      <c r="N6">
        <v>137.23893193609729</v>
      </c>
    </row>
    <row r="8" spans="1:28">
      <c r="G8">
        <v>9.2133533984266353E-2</v>
      </c>
      <c r="H8">
        <v>9.4083065883197828E-2</v>
      </c>
      <c r="I8">
        <v>2.4964754865146186</v>
      </c>
      <c r="J8">
        <v>104.56854047087386</v>
      </c>
      <c r="K8">
        <v>150.78242903820765</v>
      </c>
      <c r="L8">
        <v>162.52423389528815</v>
      </c>
      <c r="M8">
        <v>149.26117257858152</v>
      </c>
      <c r="N8">
        <v>143.42311084688441</v>
      </c>
    </row>
    <row r="9" spans="1:28">
      <c r="G9">
        <v>2.0307423690349062</v>
      </c>
      <c r="H9">
        <v>0.54853953205272732</v>
      </c>
      <c r="I9">
        <v>2.5303206977877912</v>
      </c>
      <c r="J9">
        <v>124.74343219386455</v>
      </c>
      <c r="K9">
        <v>140.32825375978084</v>
      </c>
      <c r="L9">
        <v>161.9269011249423</v>
      </c>
      <c r="M9">
        <v>138.44273368477837</v>
      </c>
      <c r="N9">
        <v>136.6241050955808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1</vt:lpstr>
      <vt:lpstr>12</vt:lpstr>
      <vt:lpstr>13</vt:lpstr>
      <vt:lpstr>14</vt:lpstr>
      <vt:lpstr>26</vt:lpstr>
      <vt:lpstr>29</vt:lpstr>
      <vt:lpstr>29g1PK6</vt:lpstr>
      <vt:lpstr>32</vt:lpstr>
      <vt:lpstr>35</vt:lpstr>
      <vt:lpstr>38</vt:lpstr>
      <vt:lpstr>52</vt:lpstr>
      <vt:lpstr>53</vt:lpstr>
      <vt:lpstr>54</vt:lpstr>
      <vt:lpstr>55</vt:lpstr>
      <vt:lpstr>56</vt:lpstr>
      <vt:lpstr>57</vt:lpstr>
      <vt:lpstr>58</vt:lpstr>
      <vt:lpstr>59</vt:lpstr>
      <vt:lpstr>61</vt:lpstr>
      <vt:lpstr>228</vt:lpstr>
      <vt:lpstr>231</vt:lpstr>
      <vt:lpstr>239</vt:lpstr>
      <vt:lpstr>241</vt:lpstr>
      <vt:lpstr>43</vt:lpstr>
      <vt:lpstr>62</vt:lpstr>
      <vt:lpstr>24</vt:lpstr>
      <vt:lpstr>49</vt:lpstr>
      <vt:lpstr>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Chang</dc:creator>
  <cp:lastModifiedBy>Douglas Chang</cp:lastModifiedBy>
  <dcterms:created xsi:type="dcterms:W3CDTF">2022-11-05T00:12:44Z</dcterms:created>
  <dcterms:modified xsi:type="dcterms:W3CDTF">2023-05-26T01:50:16Z</dcterms:modified>
</cp:coreProperties>
</file>