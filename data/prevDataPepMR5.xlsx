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Peptide AMP Prediction Python/"/>
    </mc:Choice>
  </mc:AlternateContent>
  <xr:revisionPtr revIDLastSave="22" documentId="8_{E2528D90-77DA-42FE-B667-04906125ED40}" xr6:coauthVersionLast="47" xr6:coauthVersionMax="47" xr10:uidLastSave="{B7A3A325-2C5C-47BA-9180-41EF0E7FB78B}"/>
  <bookViews>
    <workbookView xWindow="-120" yWindow="-120" windowWidth="38640" windowHeight="21120" xr2:uid="{5A544DBB-37BF-4777-845C-4C766BAE7E25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8" i="1" l="1"/>
  <c r="M62" i="1"/>
  <c r="M88" i="1"/>
  <c r="M148" i="1"/>
  <c r="M145" i="1"/>
  <c r="M138" i="1"/>
  <c r="M147" i="1"/>
  <c r="L98" i="1" l="1"/>
  <c r="L62" i="1"/>
  <c r="L91" i="1"/>
  <c r="M91" i="1"/>
  <c r="L139" i="1"/>
  <c r="M139" i="1"/>
  <c r="L73" i="1"/>
  <c r="M73" i="1"/>
  <c r="L121" i="1"/>
  <c r="M121" i="1"/>
  <c r="L68" i="1"/>
  <c r="M68" i="1"/>
  <c r="L37" i="1"/>
  <c r="M37" i="1"/>
  <c r="L74" i="1"/>
  <c r="M74" i="1"/>
  <c r="L16" i="1"/>
  <c r="M16" i="1"/>
  <c r="L80" i="1"/>
  <c r="M80" i="1"/>
  <c r="L106" i="1"/>
  <c r="M106" i="1"/>
  <c r="L137" i="1"/>
  <c r="M137" i="1"/>
  <c r="L130" i="1"/>
  <c r="M130" i="1"/>
  <c r="L30" i="1"/>
  <c r="M30" i="1"/>
  <c r="L8" i="1"/>
  <c r="M8" i="1"/>
  <c r="L42" i="1"/>
  <c r="M42" i="1"/>
  <c r="L11" i="1"/>
  <c r="M11" i="1"/>
  <c r="L2" i="1"/>
  <c r="M2" i="1"/>
  <c r="L31" i="1"/>
  <c r="M31" i="1"/>
  <c r="L5" i="1"/>
  <c r="M5" i="1"/>
  <c r="L108" i="1"/>
  <c r="M108" i="1"/>
  <c r="L131" i="1"/>
  <c r="M131" i="1"/>
  <c r="L39" i="1"/>
  <c r="M39" i="1"/>
  <c r="L129" i="1"/>
  <c r="M129" i="1"/>
  <c r="L112" i="1"/>
  <c r="M112" i="1"/>
  <c r="L9" i="1"/>
  <c r="M9" i="1"/>
  <c r="L93" i="1"/>
  <c r="M93" i="1"/>
  <c r="L54" i="1"/>
  <c r="M54" i="1"/>
  <c r="L76" i="1"/>
  <c r="M76" i="1"/>
  <c r="L12" i="1"/>
  <c r="M12" i="1"/>
  <c r="L3" i="1"/>
  <c r="M3" i="1"/>
  <c r="L126" i="1"/>
  <c r="M126" i="1"/>
  <c r="L69" i="1"/>
  <c r="M69" i="1"/>
  <c r="L23" i="1"/>
  <c r="M23" i="1"/>
  <c r="L88" i="1"/>
  <c r="L148" i="1"/>
  <c r="L136" i="1"/>
  <c r="M136" i="1"/>
  <c r="L128" i="1"/>
  <c r="M128" i="1"/>
  <c r="L57" i="1"/>
  <c r="M57" i="1"/>
  <c r="L13" i="1"/>
  <c r="M13" i="1"/>
  <c r="L6" i="1"/>
  <c r="M6" i="1"/>
  <c r="L142" i="1"/>
  <c r="M142" i="1"/>
  <c r="L103" i="1"/>
  <c r="M103" i="1"/>
  <c r="L92" i="1"/>
  <c r="M92" i="1"/>
  <c r="L7" i="1"/>
  <c r="M7" i="1"/>
  <c r="L47" i="1"/>
  <c r="M47" i="1"/>
  <c r="L100" i="1"/>
  <c r="M100" i="1"/>
  <c r="L119" i="1"/>
  <c r="M119" i="1"/>
  <c r="L84" i="1"/>
  <c r="M84" i="1"/>
  <c r="L34" i="1"/>
  <c r="M34" i="1"/>
  <c r="L124" i="1"/>
  <c r="M124" i="1"/>
  <c r="L107" i="1"/>
  <c r="M107" i="1"/>
  <c r="L82" i="1"/>
  <c r="M82" i="1"/>
  <c r="L113" i="1"/>
  <c r="M113" i="1"/>
  <c r="L50" i="1"/>
  <c r="M50" i="1"/>
  <c r="L72" i="1"/>
  <c r="M72" i="1"/>
  <c r="L24" i="1"/>
  <c r="M24" i="1"/>
  <c r="L49" i="1"/>
  <c r="M49" i="1"/>
  <c r="L28" i="1"/>
  <c r="M28" i="1"/>
  <c r="L43" i="1"/>
  <c r="M43" i="1"/>
  <c r="L27" i="1"/>
  <c r="M27" i="1"/>
  <c r="L26" i="1"/>
  <c r="M26" i="1"/>
  <c r="L94" i="1"/>
  <c r="M94" i="1"/>
  <c r="L118" i="1"/>
  <c r="M118" i="1"/>
  <c r="L81" i="1"/>
  <c r="M81" i="1"/>
  <c r="L114" i="1"/>
  <c r="M114" i="1"/>
  <c r="L35" i="1"/>
  <c r="M35" i="1"/>
  <c r="L67" i="1"/>
  <c r="M67" i="1"/>
  <c r="L127" i="1"/>
  <c r="M127" i="1"/>
  <c r="L111" i="1"/>
  <c r="M111" i="1"/>
  <c r="L52" i="1"/>
  <c r="M52" i="1"/>
  <c r="L104" i="1"/>
  <c r="M104" i="1"/>
  <c r="L55" i="1"/>
  <c r="M55" i="1"/>
  <c r="L63" i="1"/>
  <c r="M63" i="1"/>
  <c r="L20" i="1"/>
  <c r="M20" i="1"/>
  <c r="L40" i="1"/>
  <c r="M40" i="1"/>
  <c r="L97" i="1"/>
  <c r="M97" i="1"/>
  <c r="L32" i="1"/>
  <c r="M32" i="1"/>
  <c r="L36" i="1"/>
  <c r="M36" i="1"/>
  <c r="L21" i="1"/>
  <c r="M21" i="1"/>
  <c r="L22" i="1"/>
  <c r="M22" i="1"/>
  <c r="L58" i="1"/>
  <c r="M58" i="1"/>
  <c r="L17" i="1"/>
  <c r="M17" i="1"/>
  <c r="L44" i="1"/>
  <c r="M44" i="1"/>
  <c r="L38" i="1"/>
  <c r="M38" i="1"/>
  <c r="L19" i="1"/>
  <c r="M19" i="1"/>
  <c r="L86" i="1"/>
  <c r="M86" i="1"/>
  <c r="L116" i="1"/>
  <c r="M116" i="1"/>
  <c r="L96" i="1"/>
  <c r="M96" i="1"/>
  <c r="L132" i="1"/>
  <c r="M132" i="1"/>
  <c r="L120" i="1"/>
  <c r="M120" i="1"/>
  <c r="L115" i="1"/>
  <c r="M115" i="1"/>
  <c r="L123" i="1"/>
  <c r="M123" i="1"/>
  <c r="L109" i="1"/>
  <c r="M109" i="1"/>
  <c r="L105" i="1"/>
  <c r="M105" i="1"/>
  <c r="L117" i="1"/>
  <c r="M117" i="1"/>
  <c r="L95" i="1"/>
  <c r="M95" i="1"/>
  <c r="L85" i="1"/>
  <c r="M85" i="1"/>
  <c r="L53" i="1"/>
  <c r="M53" i="1"/>
  <c r="L89" i="1"/>
  <c r="M89" i="1"/>
  <c r="L70" i="1"/>
  <c r="M70" i="1"/>
  <c r="L143" i="1"/>
  <c r="M143" i="1"/>
  <c r="L144" i="1"/>
  <c r="M144" i="1"/>
  <c r="L133" i="1"/>
  <c r="M133" i="1"/>
  <c r="L140" i="1"/>
  <c r="M140" i="1"/>
  <c r="L146" i="1"/>
  <c r="M146" i="1"/>
  <c r="L122" i="1"/>
  <c r="M122" i="1"/>
  <c r="L83" i="1"/>
  <c r="M83" i="1"/>
  <c r="L101" i="1"/>
  <c r="M101" i="1"/>
  <c r="L71" i="1"/>
  <c r="M71" i="1"/>
  <c r="L125" i="1"/>
  <c r="M125" i="1"/>
  <c r="L141" i="1"/>
  <c r="M141" i="1"/>
  <c r="L134" i="1"/>
  <c r="M134" i="1"/>
  <c r="L51" i="1"/>
  <c r="M51" i="1"/>
  <c r="L33" i="1"/>
  <c r="M33" i="1"/>
  <c r="L78" i="1"/>
  <c r="M78" i="1"/>
  <c r="L75" i="1"/>
  <c r="M75" i="1"/>
  <c r="L61" i="1"/>
  <c r="M61" i="1"/>
  <c r="L56" i="1"/>
  <c r="M56" i="1"/>
  <c r="L18" i="1"/>
  <c r="M18" i="1"/>
  <c r="L25" i="1"/>
  <c r="M25" i="1"/>
  <c r="L10" i="1"/>
  <c r="M10" i="1"/>
  <c r="L14" i="1"/>
  <c r="M14" i="1"/>
  <c r="L41" i="1"/>
  <c r="M41" i="1"/>
  <c r="L48" i="1"/>
  <c r="M48" i="1"/>
  <c r="L110" i="1"/>
  <c r="M110" i="1"/>
  <c r="L65" i="1"/>
  <c r="M65" i="1"/>
  <c r="L90" i="1"/>
  <c r="M90" i="1"/>
  <c r="L29" i="1"/>
  <c r="M29" i="1"/>
  <c r="L45" i="1"/>
  <c r="M45" i="1"/>
  <c r="L77" i="1"/>
  <c r="M77" i="1"/>
  <c r="L135" i="1"/>
  <c r="M135" i="1"/>
  <c r="L59" i="1"/>
  <c r="M59" i="1"/>
  <c r="L60" i="1"/>
  <c r="M60" i="1"/>
  <c r="L46" i="1"/>
  <c r="M46" i="1"/>
  <c r="L66" i="1"/>
  <c r="M66" i="1"/>
  <c r="L87" i="1"/>
  <c r="M87" i="1"/>
  <c r="L147" i="1"/>
  <c r="L15" i="1"/>
  <c r="M15" i="1"/>
  <c r="L64" i="1"/>
  <c r="M64" i="1"/>
  <c r="L102" i="1"/>
  <c r="M102" i="1"/>
  <c r="L79" i="1"/>
  <c r="M79" i="1"/>
  <c r="L99" i="1"/>
  <c r="M99" i="1"/>
  <c r="L138" i="1"/>
  <c r="L145" i="1"/>
  <c r="M4" i="1"/>
  <c r="L4" i="1"/>
</calcChain>
</file>

<file path=xl/sharedStrings.xml><?xml version="1.0" encoding="utf-8"?>
<sst xmlns="http://schemas.openxmlformats.org/spreadsheetml/2006/main" count="494" uniqueCount="260">
  <si>
    <t>ME100</t>
    <phoneticPr fontId="2" type="noConversion"/>
  </si>
  <si>
    <t>ME15</t>
    <phoneticPr fontId="2" type="noConversion"/>
  </si>
  <si>
    <t># of Peptide</t>
    <phoneticPr fontId="2" type="noConversion"/>
  </si>
  <si>
    <t>αβ_combination</t>
    <phoneticPr fontId="5" type="noConversion"/>
  </si>
  <si>
    <t>RT</t>
  </si>
  <si>
    <t>ACPC</t>
    <phoneticPr fontId="2" type="noConversion"/>
  </si>
  <si>
    <t>charge</t>
    <phoneticPr fontId="2" type="noConversion"/>
  </si>
  <si>
    <t>Helicity</t>
  </si>
  <si>
    <t>#001</t>
  </si>
  <si>
    <t>α</t>
  </si>
  <si>
    <t>#002</t>
  </si>
  <si>
    <t>α-K4</t>
  </si>
  <si>
    <t>#018</t>
  </si>
  <si>
    <t>αααβ-wc-01</t>
  </si>
  <si>
    <t>#019</t>
  </si>
  <si>
    <t>αααβ-wc-04</t>
  </si>
  <si>
    <t>#196</t>
  </si>
  <si>
    <t>αααβ-wc</t>
  </si>
  <si>
    <t>#197</t>
  </si>
  <si>
    <t>#135</t>
  </si>
  <si>
    <t>#136</t>
  </si>
  <si>
    <t>#219</t>
  </si>
  <si>
    <t>#221</t>
  </si>
  <si>
    <t>#226</t>
  </si>
  <si>
    <t>#227</t>
  </si>
  <si>
    <t>#228</t>
  </si>
  <si>
    <t>#059</t>
  </si>
  <si>
    <t>αααβ-woc-05</t>
  </si>
  <si>
    <t>#060</t>
  </si>
  <si>
    <t>αααβ-woc-6</t>
  </si>
  <si>
    <t>#062</t>
  </si>
  <si>
    <t>αααβ-woc-07</t>
  </si>
  <si>
    <t>#063</t>
  </si>
  <si>
    <t>αααβ-woc-08</t>
  </si>
  <si>
    <t>#012</t>
  </si>
  <si>
    <t>ααβ-wc-03</t>
  </si>
  <si>
    <t>#013</t>
  </si>
  <si>
    <t>ααβ-wc-04</t>
  </si>
  <si>
    <t>ααβ-wc</t>
  </si>
  <si>
    <t>#174</t>
  </si>
  <si>
    <t>#169</t>
  </si>
  <si>
    <t>#175</t>
  </si>
  <si>
    <t>#014</t>
  </si>
  <si>
    <t>ααβ-wc-05</t>
  </si>
  <si>
    <t>#200</t>
  </si>
  <si>
    <t>#201</t>
  </si>
  <si>
    <t>#108</t>
  </si>
  <si>
    <t>ααβ-wc-09</t>
  </si>
  <si>
    <t>#109</t>
  </si>
  <si>
    <t>ααβ-wc-10</t>
  </si>
  <si>
    <t>#110</t>
  </si>
  <si>
    <t>ααβ-wc-11</t>
  </si>
  <si>
    <t>#111</t>
  </si>
  <si>
    <t>ααβ-wc-12</t>
  </si>
  <si>
    <t>#112</t>
  </si>
  <si>
    <t>ααβ-wc-13</t>
  </si>
  <si>
    <t>#113</t>
  </si>
  <si>
    <t>ααβ-wc-14</t>
  </si>
  <si>
    <t>#114</t>
  </si>
  <si>
    <t>ααβ-wc-15</t>
  </si>
  <si>
    <t>#172</t>
  </si>
  <si>
    <t>#168</t>
  </si>
  <si>
    <t>#173</t>
  </si>
  <si>
    <t>#115</t>
  </si>
  <si>
    <t>ααβ-wc-16</t>
  </si>
  <si>
    <t>#217</t>
  </si>
  <si>
    <t>#231</t>
  </si>
  <si>
    <t>#236</t>
  </si>
  <si>
    <t>#237</t>
  </si>
  <si>
    <t>#238</t>
  </si>
  <si>
    <t>#239</t>
  </si>
  <si>
    <t>#241</t>
  </si>
  <si>
    <t>#056</t>
  </si>
  <si>
    <t>ααβ-woc-06</t>
  </si>
  <si>
    <t>#057</t>
  </si>
  <si>
    <t>ααβ-woc-07</t>
  </si>
  <si>
    <t>#058</t>
  </si>
  <si>
    <t>ααβ-woc-08</t>
  </si>
  <si>
    <t>#029</t>
  </si>
  <si>
    <t>ααβαααβ-wc-01</t>
  </si>
  <si>
    <t>ααβαααβ-wc</t>
  </si>
  <si>
    <t>#161</t>
  </si>
  <si>
    <t>#029-G1K-p6</t>
  </si>
  <si>
    <t>#160</t>
  </si>
  <si>
    <t>#162</t>
  </si>
  <si>
    <t>#029-p6</t>
  </si>
  <si>
    <t>#030</t>
  </si>
  <si>
    <t>ααβαααβ-wc-02</t>
  </si>
  <si>
    <t>#031</t>
  </si>
  <si>
    <t>ααβαααβ-wc-05</t>
  </si>
  <si>
    <t>#198</t>
  </si>
  <si>
    <t>#199</t>
  </si>
  <si>
    <t>#032</t>
  </si>
  <si>
    <t>ααβαααβ-wc-06</t>
  </si>
  <si>
    <t>#033</t>
  </si>
  <si>
    <t>ααβαααβ-wc-07</t>
  </si>
  <si>
    <t>#034</t>
  </si>
  <si>
    <t>ααβαααβ-wc-08</t>
  </si>
  <si>
    <t>#035</t>
  </si>
  <si>
    <t>ααβαααβ-wc-09</t>
  </si>
  <si>
    <t>#036</t>
  </si>
  <si>
    <t>ααβαααβ-wc-10</t>
  </si>
  <si>
    <t>#084</t>
  </si>
  <si>
    <t>ααβαααβ-wc-41</t>
  </si>
  <si>
    <t>#084-p6</t>
  </si>
  <si>
    <t>#085</t>
  </si>
  <si>
    <t>ααβαααβ-wc-42</t>
  </si>
  <si>
    <t>#085-p6</t>
  </si>
  <si>
    <t>#086</t>
  </si>
  <si>
    <t>ααβαααβ-wc-43</t>
  </si>
  <si>
    <t>#087</t>
  </si>
  <si>
    <t>ααβαααβ-wc-44</t>
  </si>
  <si>
    <t>#087-G1K-p6</t>
  </si>
  <si>
    <t>#087-p6</t>
  </si>
  <si>
    <t>#088</t>
  </si>
  <si>
    <t>ααβαααβ-wc-45</t>
  </si>
  <si>
    <t>#088-p6</t>
  </si>
  <si>
    <t>#089</t>
  </si>
  <si>
    <t>ααβαααβ-wc-46</t>
  </si>
  <si>
    <t>#090</t>
  </si>
  <si>
    <t>ααβαααβ-wc-47</t>
  </si>
  <si>
    <t>#091</t>
  </si>
  <si>
    <t>ααβαααβ-wc-48</t>
  </si>
  <si>
    <t>#092</t>
  </si>
  <si>
    <t>ααβαααβ-wc-49</t>
  </si>
  <si>
    <t>#092-p6</t>
  </si>
  <si>
    <t>#093</t>
  </si>
  <si>
    <t>ααβαααβ-wc-50</t>
  </si>
  <si>
    <t>#094</t>
  </si>
  <si>
    <t>ααβαααβ-wc-51</t>
  </si>
  <si>
    <t>#096</t>
  </si>
  <si>
    <t>ααβαααβ-wc-53</t>
  </si>
  <si>
    <t>#097</t>
  </si>
  <si>
    <t>ααβαααβ-wc-54</t>
  </si>
  <si>
    <t>#101</t>
  </si>
  <si>
    <t>ααβαααβ-wc-58</t>
  </si>
  <si>
    <t>#102</t>
  </si>
  <si>
    <t>ααβαααβ-wc-59</t>
  </si>
  <si>
    <t>#103</t>
  </si>
  <si>
    <t>ααβαααβ-wc-60</t>
  </si>
  <si>
    <t>#105</t>
  </si>
  <si>
    <t>ααβαααβ-wc-62</t>
  </si>
  <si>
    <t>#105-G1K-p6</t>
  </si>
  <si>
    <t>#105-p6</t>
  </si>
  <si>
    <t>#119</t>
  </si>
  <si>
    <t>ααβαααβ-wc-66</t>
  </si>
  <si>
    <t>#120</t>
  </si>
  <si>
    <t>ααβαααβ-wc-67</t>
  </si>
  <si>
    <t>#170</t>
  </si>
  <si>
    <t>#167</t>
  </si>
  <si>
    <t>#171</t>
  </si>
  <si>
    <t>#130</t>
  </si>
  <si>
    <t>ααβαααβ-wc-76</t>
  </si>
  <si>
    <t>#131</t>
  </si>
  <si>
    <t>ααβαααβ-wc-77</t>
  </si>
  <si>
    <t>#133</t>
  </si>
  <si>
    <t>ααβαααβ-wc-79</t>
  </si>
  <si>
    <t>#134</t>
  </si>
  <si>
    <t>ααβαααβ-wc-80</t>
  </si>
  <si>
    <t>#218</t>
  </si>
  <si>
    <t>#220</t>
  </si>
  <si>
    <t>#222</t>
  </si>
  <si>
    <t>#223</t>
  </si>
  <si>
    <t>#229</t>
  </si>
  <si>
    <t>#230</t>
  </si>
  <si>
    <t>#232</t>
  </si>
  <si>
    <t>#233</t>
  </si>
  <si>
    <t>#041</t>
  </si>
  <si>
    <t>ααβαααβ-wch-15</t>
  </si>
  <si>
    <t>#042</t>
  </si>
  <si>
    <t>ααβαααβ-wch-16</t>
  </si>
  <si>
    <t>#043</t>
  </si>
  <si>
    <t>ααβαααβ-wch-17</t>
  </si>
  <si>
    <t>#044</t>
  </si>
  <si>
    <t>ααβαααβ-wch-18</t>
  </si>
  <si>
    <t>#045</t>
  </si>
  <si>
    <t>ααβαααβ-wch-19</t>
  </si>
  <si>
    <t>#046</t>
  </si>
  <si>
    <t>ααβαααβ-wch-20</t>
  </si>
  <si>
    <t>#038</t>
  </si>
  <si>
    <t>ααβαααβ-woc-12</t>
  </si>
  <si>
    <t>#038-p6</t>
  </si>
  <si>
    <t>#039</t>
  </si>
  <si>
    <t>ααβαααβ-woc-13</t>
  </si>
  <si>
    <t>#039-bI6bA</t>
  </si>
  <si>
    <t>#039-bL2bA</t>
  </si>
  <si>
    <t>#040</t>
  </si>
  <si>
    <t>ααβαααβ-woc-14</t>
  </si>
  <si>
    <t>#040-bI6bA</t>
  </si>
  <si>
    <t>#040-bL2bA</t>
  </si>
  <si>
    <t>#070</t>
  </si>
  <si>
    <t>ααβαααβ-woc-31</t>
  </si>
  <si>
    <t>#070-p6</t>
  </si>
  <si>
    <t>#071</t>
  </si>
  <si>
    <t>ααβαααβ-woc-32</t>
  </si>
  <si>
    <t>#072</t>
  </si>
  <si>
    <t>ααβαααβ-woc-27</t>
  </si>
  <si>
    <t>#072-bI6bA</t>
  </si>
  <si>
    <t>#072-bL2bA</t>
  </si>
  <si>
    <t>#073</t>
  </si>
  <si>
    <t>ααβαααβ-woc-33</t>
  </si>
  <si>
    <t>#073-p6</t>
  </si>
  <si>
    <t>#074</t>
  </si>
  <si>
    <t>ααβαααβ-woc-34</t>
  </si>
  <si>
    <t>#075</t>
  </si>
  <si>
    <t>ααβαααβ-woc-35</t>
  </si>
  <si>
    <t>#077</t>
  </si>
  <si>
    <t>ααβαααβ-woc-28</t>
  </si>
  <si>
    <t>#078</t>
  </si>
  <si>
    <t>ααβαααβ-woc-37</t>
  </si>
  <si>
    <t>#079</t>
  </si>
  <si>
    <t>ααβαααβ-woc-38</t>
  </si>
  <si>
    <t>#080</t>
  </si>
  <si>
    <t>ααβαααβ-woc-39</t>
  </si>
  <si>
    <t>#082</t>
  </si>
  <si>
    <t>ααβαααβ-woc-29</t>
  </si>
  <si>
    <t>#083</t>
  </si>
  <si>
    <t>ααβαααβ-woc-30</t>
  </si>
  <si>
    <t>#098</t>
  </si>
  <si>
    <t>ααβαααβ-woc-55</t>
  </si>
  <si>
    <t>#100</t>
  </si>
  <si>
    <t>ααβαααβ-woc-57</t>
  </si>
  <si>
    <t>#104</t>
  </si>
  <si>
    <t>ααβαααβ-woc-61</t>
  </si>
  <si>
    <t>#104-p6</t>
  </si>
  <si>
    <t>#006</t>
  </si>
  <si>
    <t>αβ-wc-02</t>
  </si>
  <si>
    <t>#007</t>
  </si>
  <si>
    <t>αβ-wc-03</t>
  </si>
  <si>
    <t>#024</t>
  </si>
  <si>
    <t>αβαβααβ-wc-03</t>
  </si>
  <si>
    <t>#049</t>
  </si>
  <si>
    <t>αβαβααβ-woc-08</t>
  </si>
  <si>
    <t>#052</t>
  </si>
  <si>
    <t>αβαβααβ-woc-06</t>
  </si>
  <si>
    <t>#053</t>
  </si>
  <si>
    <t>αβαβααβ-woc-07</t>
  </si>
  <si>
    <t>#055</t>
  </si>
  <si>
    <t>αβ-woc-05</t>
  </si>
  <si>
    <t>#061</t>
  </si>
  <si>
    <t>αβ-woc-06</t>
  </si>
  <si>
    <t>ab ratio</t>
  </si>
  <si>
    <t>MIC</t>
  </si>
  <si>
    <t>Hemolysis</t>
  </si>
  <si>
    <t>sc_raw</t>
  </si>
  <si>
    <t>HC10_Raw</t>
  </si>
  <si>
    <t>ACPC</t>
  </si>
  <si>
    <t>charge</t>
  </si>
  <si>
    <t>ME100</t>
  </si>
  <si>
    <t>ME15</t>
  </si>
  <si>
    <t>original</t>
  </si>
  <si>
    <t>simplified</t>
  </si>
  <si>
    <t>MW</t>
  </si>
  <si>
    <t>Set</t>
  </si>
  <si>
    <t xml:space="preserve">Training </t>
  </si>
  <si>
    <t>Prediction</t>
  </si>
  <si>
    <t>#050</t>
  </si>
  <si>
    <t>αβαβααβ-wch-11</t>
  </si>
  <si>
    <t>#051</t>
  </si>
  <si>
    <t>αβαβααβ-woc-14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</si>
</sst>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_ "/>
  </numFmts>
  <fonts count="11">
    <font>
      <sz val="12"/>
      <color theme="1"/>
      <name val="Times New Roman"/>
      <family val="2"/>
      <charset val="129"/>
    </font>
    <font>
      <sz val="12"/>
      <color theme="1"/>
      <name val="Times New Roman"/>
      <family val="1"/>
    </font>
    <font>
      <sz val="8"/>
      <name val="Times New Roman"/>
      <family val="2"/>
      <charset val="129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8"/>
      <name val="Calibri"/>
      <family val="2"/>
      <charset val="129"/>
      <scheme val="minor"/>
    </font>
    <font>
      <i/>
      <sz val="12"/>
      <color theme="1"/>
      <name val="Times New Roman"/>
      <family val="2"/>
      <charset val="129"/>
    </font>
    <font>
      <sz val="12"/>
      <color theme="0"/>
      <name val="Times New Roman"/>
      <family val="2"/>
      <charset val="129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>
      <alignment vertical="center"/>
    </xf>
    <xf numFmtId="164" fontId="8" fillId="0" borderId="1" xfId="0" applyNumberFormat="1" applyFont="1" applyBorder="1">
      <alignment vertical="center"/>
    </xf>
    <xf numFmtId="164" fontId="9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165" fontId="8" fillId="0" borderId="1" xfId="0" quotePrefix="1" applyNumberFormat="1" applyFont="1" applyBorder="1">
      <alignment vertical="center"/>
    </xf>
    <xf numFmtId="2" fontId="8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165" fontId="8" fillId="0" borderId="1" xfId="0" quotePrefix="1" applyNumberFormat="1" applyFont="1" applyBorder="1" applyAlignment="1">
      <alignment horizontal="right" vertical="center"/>
    </xf>
    <xf numFmtId="0" fontId="8" fillId="0" borderId="5" xfId="0" applyFont="1" applyBorder="1">
      <alignment vertical="center"/>
    </xf>
    <xf numFmtId="0" fontId="1" fillId="0" borderId="0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9881-C266-47DB-80C7-0A0295928078}">
  <dimension ref="A1:O148"/>
  <sheetViews>
    <sheetView tabSelected="1" zoomScaleNormal="100" workbookViewId="0">
      <selection activeCell="A3" sqref="A3:XFD3"/>
    </sheetView>
  </sheetViews>
  <sheetFormatPr defaultRowHeight="15.75"/>
  <cols>
    <col min="1" max="1" width="20.875" customWidth="1"/>
    <col min="2" max="2" width="18.625" customWidth="1"/>
    <col min="5" max="5" width="9.25" customWidth="1"/>
    <col min="6" max="7" width="9" customWidth="1"/>
    <col min="17" max="17" width="13" customWidth="1"/>
    <col min="20" max="20" width="17.25" customWidth="1"/>
    <col min="23" max="23" width="12.75" customWidth="1"/>
  </cols>
  <sheetData>
    <row r="1" spans="1:15" s="6" customFormat="1" ht="26.25" customHeight="1">
      <c r="A1" s="7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244</v>
      </c>
      <c r="G1" s="6" t="s">
        <v>245</v>
      </c>
      <c r="H1" s="6" t="s">
        <v>7</v>
      </c>
      <c r="I1" s="5" t="s">
        <v>0</v>
      </c>
      <c r="J1" s="5" t="s">
        <v>1</v>
      </c>
      <c r="K1" s="6" t="s">
        <v>241</v>
      </c>
      <c r="L1" s="6" t="s">
        <v>242</v>
      </c>
      <c r="M1" s="6" t="s">
        <v>243</v>
      </c>
      <c r="N1" s="6" t="s">
        <v>252</v>
      </c>
      <c r="O1" s="6" t="s">
        <v>253</v>
      </c>
    </row>
    <row r="2" spans="1:15" s="1" customFormat="1">
      <c r="A2" s="2" t="s">
        <v>96</v>
      </c>
      <c r="B2" s="3" t="s">
        <v>97</v>
      </c>
      <c r="C2" s="1">
        <v>23.64</v>
      </c>
      <c r="D2" s="4">
        <v>2</v>
      </c>
      <c r="E2" s="4">
        <v>3</v>
      </c>
      <c r="F2" s="1">
        <v>8</v>
      </c>
      <c r="G2" s="1">
        <v>1.6</v>
      </c>
      <c r="H2" s="1">
        <v>84.2</v>
      </c>
      <c r="I2" s="1">
        <v>-54.3</v>
      </c>
      <c r="J2" s="1">
        <v>-45.7</v>
      </c>
      <c r="K2" s="1">
        <v>28.57</v>
      </c>
      <c r="L2" s="1">
        <f>LOG(F2,2)</f>
        <v>3</v>
      </c>
      <c r="M2" s="1">
        <f>LOG(G2,2)</f>
        <v>0.67807190511263782</v>
      </c>
      <c r="N2" s="14">
        <v>1585.059</v>
      </c>
      <c r="O2" s="1" t="s">
        <v>255</v>
      </c>
    </row>
    <row r="3" spans="1:15" s="1" customFormat="1">
      <c r="A3" s="2" t="s">
        <v>171</v>
      </c>
      <c r="B3" s="3" t="s">
        <v>172</v>
      </c>
      <c r="C3" s="1">
        <v>23.26</v>
      </c>
      <c r="D3" s="4">
        <v>1</v>
      </c>
      <c r="E3" s="4">
        <v>5</v>
      </c>
      <c r="F3" s="1">
        <v>8</v>
      </c>
      <c r="G3" s="1">
        <v>1.4</v>
      </c>
      <c r="H3" s="1">
        <v>99</v>
      </c>
      <c r="I3" s="1">
        <v>-48.7</v>
      </c>
      <c r="J3" s="1">
        <v>-48.2</v>
      </c>
      <c r="K3" s="1">
        <v>28.57</v>
      </c>
      <c r="L3" s="1">
        <f>LOG(F3,2)</f>
        <v>3</v>
      </c>
      <c r="M3" s="1">
        <f>LOG(G3,2)</f>
        <v>0.48542682717024171</v>
      </c>
      <c r="N3" s="14">
        <v>1600.162</v>
      </c>
      <c r="O3" s="1" t="s">
        <v>255</v>
      </c>
    </row>
    <row r="4" spans="1:15" s="1" customFormat="1">
      <c r="A4" s="2" t="s">
        <v>8</v>
      </c>
      <c r="B4" s="3" t="s">
        <v>9</v>
      </c>
      <c r="C4" s="1">
        <v>22.89</v>
      </c>
      <c r="D4" s="4">
        <v>0</v>
      </c>
      <c r="E4" s="4">
        <v>1</v>
      </c>
      <c r="F4" s="1">
        <v>32</v>
      </c>
      <c r="G4" s="1">
        <v>35</v>
      </c>
      <c r="H4" s="1">
        <v>83.5</v>
      </c>
      <c r="I4" s="1">
        <v>-23.4</v>
      </c>
      <c r="J4" s="1">
        <v>-19.5</v>
      </c>
      <c r="K4" s="1">
        <v>0</v>
      </c>
      <c r="L4" s="1">
        <f>LOG(F4,2)</f>
        <v>5</v>
      </c>
      <c r="M4" s="1">
        <f>LOG(G4,2)</f>
        <v>5.1292830169449664</v>
      </c>
      <c r="N4" s="12">
        <v>1479.787</v>
      </c>
      <c r="O4" s="1" t="s">
        <v>254</v>
      </c>
    </row>
    <row r="5" spans="1:15" s="1" customFormat="1">
      <c r="A5" s="2" t="s">
        <v>100</v>
      </c>
      <c r="B5" s="3" t="s">
        <v>101</v>
      </c>
      <c r="C5" s="1">
        <v>22.2</v>
      </c>
      <c r="D5" s="4">
        <v>2</v>
      </c>
      <c r="E5" s="4">
        <v>3</v>
      </c>
      <c r="F5" s="1">
        <v>8</v>
      </c>
      <c r="G5" s="1">
        <v>11.5</v>
      </c>
      <c r="H5" s="1">
        <v>80.3</v>
      </c>
      <c r="I5" s="1">
        <v>-53.6</v>
      </c>
      <c r="J5" s="1">
        <v>-43</v>
      </c>
      <c r="K5" s="1">
        <v>28.57</v>
      </c>
      <c r="L5" s="1">
        <f>LOG(F5,2)</f>
        <v>3</v>
      </c>
      <c r="M5" s="1">
        <f>LOG(G5,2)</f>
        <v>3.5235619560570131</v>
      </c>
      <c r="N5" s="14">
        <v>1544.95</v>
      </c>
      <c r="O5" s="1" t="s">
        <v>255</v>
      </c>
    </row>
    <row r="6" spans="1:15" s="1" customFormat="1">
      <c r="A6" s="2" t="s">
        <v>76</v>
      </c>
      <c r="B6" s="3" t="s">
        <v>77</v>
      </c>
      <c r="C6" s="1">
        <v>22.1</v>
      </c>
      <c r="D6" s="4">
        <v>0</v>
      </c>
      <c r="E6" s="4">
        <v>5</v>
      </c>
      <c r="F6" s="1">
        <v>4</v>
      </c>
      <c r="G6" s="1">
        <v>1.7</v>
      </c>
      <c r="H6" s="1">
        <v>76.099999999999994</v>
      </c>
      <c r="I6" s="1">
        <v>-36.5</v>
      </c>
      <c r="J6" s="1">
        <v>-27.7</v>
      </c>
      <c r="K6" s="1">
        <v>33.33</v>
      </c>
      <c r="L6" s="1">
        <f>LOG(F6,2)</f>
        <v>2</v>
      </c>
      <c r="M6" s="1">
        <f>LOG(G6,2)</f>
        <v>0.76553474636297703</v>
      </c>
      <c r="N6" s="14">
        <v>1616.2049999999999</v>
      </c>
      <c r="O6" s="1" t="s">
        <v>254</v>
      </c>
    </row>
    <row r="7" spans="1:15" s="1" customFormat="1">
      <c r="A7" s="2" t="s">
        <v>30</v>
      </c>
      <c r="B7" s="3" t="s">
        <v>31</v>
      </c>
      <c r="C7" s="1">
        <v>21.67</v>
      </c>
      <c r="D7" s="4">
        <v>0</v>
      </c>
      <c r="E7" s="4">
        <v>5</v>
      </c>
      <c r="F7" s="1">
        <v>4</v>
      </c>
      <c r="G7" s="1">
        <v>1.4</v>
      </c>
      <c r="H7" s="1">
        <v>81.8</v>
      </c>
      <c r="I7" s="1">
        <v>-51.5</v>
      </c>
      <c r="J7" s="1">
        <v>-42.1</v>
      </c>
      <c r="K7" s="1">
        <v>25</v>
      </c>
      <c r="L7" s="1">
        <f>LOG(F7,2)</f>
        <v>2</v>
      </c>
      <c r="M7" s="1">
        <f>LOG(G7,2)</f>
        <v>0.48542682717024171</v>
      </c>
      <c r="N7" s="14">
        <v>1602.1780000000001</v>
      </c>
      <c r="O7" s="1" t="s">
        <v>255</v>
      </c>
    </row>
    <row r="8" spans="1:15" s="1" customFormat="1">
      <c r="A8" s="2" t="s">
        <v>88</v>
      </c>
      <c r="B8" s="3" t="s">
        <v>89</v>
      </c>
      <c r="C8" s="1">
        <v>21.67</v>
      </c>
      <c r="D8" s="4">
        <v>2</v>
      </c>
      <c r="E8" s="4">
        <v>5</v>
      </c>
      <c r="F8" s="1">
        <v>4</v>
      </c>
      <c r="G8" s="1">
        <v>1.9</v>
      </c>
      <c r="H8" s="1">
        <v>87.1</v>
      </c>
      <c r="I8" s="1">
        <v>-47.4</v>
      </c>
      <c r="J8" s="1">
        <v>-41.3</v>
      </c>
      <c r="K8" s="1">
        <v>28.57</v>
      </c>
      <c r="L8" s="1">
        <f>LOG(F8,2)</f>
        <v>2</v>
      </c>
      <c r="M8" s="1">
        <f>LOG(G8,2)</f>
        <v>0.92599941855622303</v>
      </c>
      <c r="N8" s="14">
        <v>1584.1189999999999</v>
      </c>
      <c r="O8" s="1" t="s">
        <v>255</v>
      </c>
    </row>
    <row r="9" spans="1:15" s="1" customFormat="1">
      <c r="A9" s="2" t="s">
        <v>186</v>
      </c>
      <c r="B9" s="3" t="s">
        <v>187</v>
      </c>
      <c r="C9" s="1">
        <v>21.44</v>
      </c>
      <c r="D9" s="4">
        <v>0</v>
      </c>
      <c r="E9" s="4">
        <v>5</v>
      </c>
      <c r="F9" s="1">
        <v>4</v>
      </c>
      <c r="G9" s="1">
        <v>1.6</v>
      </c>
      <c r="H9" s="1">
        <v>79.8</v>
      </c>
      <c r="I9" s="1">
        <v>-43.5</v>
      </c>
      <c r="J9" s="1">
        <v>-34.700000000000003</v>
      </c>
      <c r="K9" s="1">
        <v>28.57</v>
      </c>
      <c r="L9" s="1">
        <f>LOG(F9,2)</f>
        <v>2</v>
      </c>
      <c r="M9" s="1">
        <f>LOG(G9,2)</f>
        <v>0.67807190511263782</v>
      </c>
      <c r="N9" s="14">
        <v>1616.2049999999999</v>
      </c>
      <c r="O9" s="1" t="s">
        <v>255</v>
      </c>
    </row>
    <row r="10" spans="1:15" s="1" customFormat="1">
      <c r="A10" s="2" t="s">
        <v>90</v>
      </c>
      <c r="B10" s="3" t="s">
        <v>80</v>
      </c>
      <c r="C10" s="1">
        <v>21.21</v>
      </c>
      <c r="D10" s="4">
        <v>2</v>
      </c>
      <c r="E10" s="4">
        <v>5</v>
      </c>
      <c r="F10" s="1">
        <v>4</v>
      </c>
      <c r="G10" s="1">
        <v>2.4</v>
      </c>
      <c r="H10" s="1">
        <v>94.2</v>
      </c>
      <c r="I10" s="1">
        <v>-41.6</v>
      </c>
      <c r="J10" s="1">
        <v>-39.1</v>
      </c>
      <c r="K10" s="1">
        <v>28.57</v>
      </c>
      <c r="L10" s="1">
        <f>LOG(F10,2)</f>
        <v>2</v>
      </c>
      <c r="M10" s="1">
        <f>LOG(G10,2)</f>
        <v>1.2630344058337937</v>
      </c>
      <c r="N10" s="14">
        <v>1614.145</v>
      </c>
      <c r="O10" s="1" t="s">
        <v>255</v>
      </c>
    </row>
    <row r="11" spans="1:15" s="1" customFormat="1">
      <c r="A11" s="2" t="s">
        <v>94</v>
      </c>
      <c r="B11" s="3" t="s">
        <v>95</v>
      </c>
      <c r="C11" s="1">
        <v>21.16</v>
      </c>
      <c r="D11" s="4">
        <v>2</v>
      </c>
      <c r="E11" s="4">
        <v>3</v>
      </c>
      <c r="F11" s="1">
        <v>16</v>
      </c>
      <c r="G11" s="1">
        <v>10.199999999999999</v>
      </c>
      <c r="H11" s="1">
        <v>65.400000000000006</v>
      </c>
      <c r="I11" s="1">
        <v>-59.6</v>
      </c>
      <c r="J11" s="1">
        <v>-39</v>
      </c>
      <c r="K11" s="1">
        <v>28.57</v>
      </c>
      <c r="L11" s="1">
        <f>LOG(F11,2)</f>
        <v>4</v>
      </c>
      <c r="M11" s="1">
        <f>LOG(G11,2)</f>
        <v>3.350497247084133</v>
      </c>
      <c r="N11" s="14">
        <v>1558.9770000000001</v>
      </c>
      <c r="O11" s="1" t="s">
        <v>255</v>
      </c>
    </row>
    <row r="12" spans="1:15" s="1" customFormat="1">
      <c r="A12" s="2" t="s">
        <v>169</v>
      </c>
      <c r="B12" s="3" t="s">
        <v>170</v>
      </c>
      <c r="C12" s="1">
        <v>20.99</v>
      </c>
      <c r="D12" s="4">
        <v>1</v>
      </c>
      <c r="E12" s="4">
        <v>5</v>
      </c>
      <c r="F12" s="1">
        <v>8</v>
      </c>
      <c r="G12" s="1">
        <v>6</v>
      </c>
      <c r="H12" s="1">
        <v>66.7</v>
      </c>
      <c r="I12" s="1">
        <v>-54</v>
      </c>
      <c r="J12" s="1">
        <v>-36</v>
      </c>
      <c r="K12" s="1">
        <v>28.57</v>
      </c>
      <c r="L12" s="1">
        <f>LOG(F12,2)</f>
        <v>3</v>
      </c>
      <c r="M12" s="1">
        <f>LOG(G12,2)</f>
        <v>2.5849625007211561</v>
      </c>
      <c r="N12" s="14">
        <v>1574.08</v>
      </c>
      <c r="O12" s="1" t="s">
        <v>255</v>
      </c>
    </row>
    <row r="13" spans="1:15" s="1" customFormat="1">
      <c r="A13" s="2" t="s">
        <v>74</v>
      </c>
      <c r="B13" s="3" t="s">
        <v>75</v>
      </c>
      <c r="C13" s="1">
        <v>20.85</v>
      </c>
      <c r="D13" s="4">
        <v>0</v>
      </c>
      <c r="E13" s="4">
        <v>5</v>
      </c>
      <c r="F13" s="1">
        <v>4</v>
      </c>
      <c r="G13" s="1">
        <v>6.8</v>
      </c>
      <c r="H13" s="1">
        <v>55.7</v>
      </c>
      <c r="I13" s="1">
        <v>-46.4</v>
      </c>
      <c r="J13" s="1">
        <v>-25.8</v>
      </c>
      <c r="K13" s="1">
        <v>33.33</v>
      </c>
      <c r="L13" s="1">
        <f>LOG(F13,2)</f>
        <v>2</v>
      </c>
      <c r="M13" s="1">
        <f>LOG(G13,2)</f>
        <v>2.7655347463629774</v>
      </c>
      <c r="N13" s="14">
        <v>1590.123</v>
      </c>
      <c r="O13" s="1" t="s">
        <v>254</v>
      </c>
    </row>
    <row r="14" spans="1:15" s="1" customFormat="1">
      <c r="A14" s="2" t="s">
        <v>91</v>
      </c>
      <c r="B14" s="3" t="s">
        <v>80</v>
      </c>
      <c r="C14" s="1">
        <v>20.74</v>
      </c>
      <c r="D14" s="4">
        <v>2</v>
      </c>
      <c r="E14" s="4">
        <v>5</v>
      </c>
      <c r="F14" s="1">
        <v>8</v>
      </c>
      <c r="G14" s="1">
        <v>2.7</v>
      </c>
      <c r="H14" s="1">
        <v>101.6</v>
      </c>
      <c r="I14" s="1">
        <v>-38.700000000000003</v>
      </c>
      <c r="J14" s="1">
        <v>-39.299999999999997</v>
      </c>
      <c r="K14" s="1">
        <v>28.57</v>
      </c>
      <c r="L14" s="1">
        <f>LOG(F14,2)</f>
        <v>3</v>
      </c>
      <c r="M14" s="1">
        <f>LOG(G14,2)</f>
        <v>1.4329594072761063</v>
      </c>
      <c r="N14" s="14">
        <v>1628.172</v>
      </c>
      <c r="O14" s="1" t="s">
        <v>255</v>
      </c>
    </row>
    <row r="15" spans="1:15" s="1" customFormat="1">
      <c r="A15" s="2" t="s">
        <v>165</v>
      </c>
      <c r="B15" s="3" t="s">
        <v>80</v>
      </c>
      <c r="C15" s="1">
        <v>20.45</v>
      </c>
      <c r="D15" s="4">
        <v>2</v>
      </c>
      <c r="E15" s="4">
        <v>5</v>
      </c>
      <c r="F15" s="1">
        <v>8</v>
      </c>
      <c r="G15" s="1">
        <v>3.7</v>
      </c>
      <c r="H15" s="1">
        <v>72.8</v>
      </c>
      <c r="I15" s="1">
        <v>-28.6</v>
      </c>
      <c r="J15" s="1">
        <v>-20.8</v>
      </c>
      <c r="K15" s="1">
        <v>28.57</v>
      </c>
      <c r="L15" s="1">
        <f>LOG(F15,2)</f>
        <v>3</v>
      </c>
      <c r="M15" s="1">
        <f>LOG(G15,2)</f>
        <v>1.8875252707415877</v>
      </c>
      <c r="N15" s="16">
        <v>1602.09</v>
      </c>
      <c r="O15" s="1" t="s">
        <v>255</v>
      </c>
    </row>
    <row r="16" spans="1:15" s="1" customFormat="1">
      <c r="A16" s="2" t="s">
        <v>14</v>
      </c>
      <c r="B16" s="3" t="s">
        <v>15</v>
      </c>
      <c r="C16" s="1">
        <v>20.45</v>
      </c>
      <c r="D16" s="4">
        <v>2</v>
      </c>
      <c r="E16" s="4">
        <v>5</v>
      </c>
      <c r="F16" s="1">
        <v>4</v>
      </c>
      <c r="G16" s="1">
        <v>2.5</v>
      </c>
      <c r="H16" s="1">
        <v>86.4</v>
      </c>
      <c r="I16" s="1">
        <v>-50.7</v>
      </c>
      <c r="J16" s="1">
        <v>-43.9</v>
      </c>
      <c r="K16" s="1">
        <v>25</v>
      </c>
      <c r="L16" s="1">
        <f>LOG(F16,2)</f>
        <v>2</v>
      </c>
      <c r="M16" s="1">
        <f>LOG(G16,2)</f>
        <v>1.3219280948873624</v>
      </c>
      <c r="N16" s="12">
        <v>1570.0920000000001</v>
      </c>
      <c r="O16" s="1" t="s">
        <v>255</v>
      </c>
    </row>
    <row r="17" spans="1:15" s="1" customFormat="1">
      <c r="A17" s="2" t="s">
        <v>220</v>
      </c>
      <c r="B17" s="3" t="s">
        <v>221</v>
      </c>
      <c r="C17" s="1">
        <v>20.399999999999999</v>
      </c>
      <c r="D17" s="4">
        <v>0</v>
      </c>
      <c r="E17" s="4">
        <v>5</v>
      </c>
      <c r="F17" s="1">
        <v>8</v>
      </c>
      <c r="G17" s="1">
        <v>5.2</v>
      </c>
      <c r="H17" s="1">
        <v>57.4</v>
      </c>
      <c r="I17" s="1">
        <v>-52.8</v>
      </c>
      <c r="J17" s="1">
        <v>-30.3</v>
      </c>
      <c r="K17" s="1">
        <v>28.57</v>
      </c>
      <c r="L17" s="1">
        <f>LOG(F17,2)</f>
        <v>3</v>
      </c>
      <c r="M17" s="1">
        <f>LOG(G17,2)</f>
        <v>2.37851162325373</v>
      </c>
      <c r="N17" s="14">
        <v>1604.15</v>
      </c>
      <c r="O17" s="1" t="s">
        <v>255</v>
      </c>
    </row>
    <row r="18" spans="1:15" s="1" customFormat="1">
      <c r="A18" s="2" t="s">
        <v>16</v>
      </c>
      <c r="B18" s="3" t="s">
        <v>17</v>
      </c>
      <c r="C18" s="1">
        <v>20.329999999999998</v>
      </c>
      <c r="D18" s="4">
        <v>2</v>
      </c>
      <c r="E18" s="4">
        <v>5</v>
      </c>
      <c r="F18" s="1">
        <v>8</v>
      </c>
      <c r="G18" s="1">
        <v>2.6</v>
      </c>
      <c r="H18" s="1">
        <v>92</v>
      </c>
      <c r="I18" s="1">
        <v>-40.6</v>
      </c>
      <c r="J18" s="1">
        <v>-37.299999999999997</v>
      </c>
      <c r="K18" s="1">
        <v>25</v>
      </c>
      <c r="L18" s="1">
        <f>LOG(F18,2)</f>
        <v>3</v>
      </c>
      <c r="M18" s="1">
        <f>LOG(G18,2)</f>
        <v>1.3785116232537298</v>
      </c>
      <c r="N18" s="14">
        <v>1600.1179999999999</v>
      </c>
      <c r="O18" s="1" t="s">
        <v>255</v>
      </c>
    </row>
    <row r="19" spans="1:15" s="1" customFormat="1">
      <c r="A19" s="2" t="s">
        <v>138</v>
      </c>
      <c r="B19" s="3" t="s">
        <v>139</v>
      </c>
      <c r="C19" s="1">
        <v>20.32</v>
      </c>
      <c r="D19" s="4">
        <v>2</v>
      </c>
      <c r="E19" s="4">
        <v>5</v>
      </c>
      <c r="F19" s="1">
        <v>8</v>
      </c>
      <c r="G19" s="1">
        <v>9.6</v>
      </c>
      <c r="H19" s="1">
        <v>62.1</v>
      </c>
      <c r="I19" s="1">
        <v>-55.8</v>
      </c>
      <c r="J19" s="1">
        <v>-34.6</v>
      </c>
      <c r="K19" s="1">
        <v>28.57</v>
      </c>
      <c r="L19" s="1">
        <f>LOG(F19,2)</f>
        <v>3</v>
      </c>
      <c r="M19" s="1">
        <f>LOG(G19,2)</f>
        <v>3.2630344058337939</v>
      </c>
      <c r="N19" s="14">
        <v>1572.0640000000001</v>
      </c>
      <c r="O19" s="1" t="s">
        <v>255</v>
      </c>
    </row>
    <row r="20" spans="1:15" s="1" customFormat="1">
      <c r="A20" s="2" t="s">
        <v>121</v>
      </c>
      <c r="B20" s="3" t="s">
        <v>122</v>
      </c>
      <c r="C20" s="1">
        <v>20.309999999999999</v>
      </c>
      <c r="D20" s="4">
        <v>2</v>
      </c>
      <c r="E20" s="4">
        <v>5</v>
      </c>
      <c r="F20" s="1">
        <v>4</v>
      </c>
      <c r="G20" s="1">
        <v>3.4</v>
      </c>
      <c r="H20" s="1">
        <v>88.7</v>
      </c>
      <c r="I20" s="1">
        <v>-45.3</v>
      </c>
      <c r="J20" s="1">
        <v>-40.200000000000003</v>
      </c>
      <c r="K20" s="1">
        <v>28.57</v>
      </c>
      <c r="L20" s="1">
        <f>LOG(F20,2)</f>
        <v>2</v>
      </c>
      <c r="M20" s="1">
        <f>LOG(G20,2)</f>
        <v>1.7655347463629771</v>
      </c>
      <c r="N20" s="14">
        <v>1570.0920000000001</v>
      </c>
      <c r="O20" s="1" t="s">
        <v>255</v>
      </c>
    </row>
    <row r="21" spans="1:15" s="1" customFormat="1">
      <c r="A21" s="2" t="s">
        <v>130</v>
      </c>
      <c r="B21" s="3" t="s">
        <v>131</v>
      </c>
      <c r="C21" s="1">
        <v>20.2</v>
      </c>
      <c r="D21" s="4">
        <v>2</v>
      </c>
      <c r="E21" s="4">
        <v>5</v>
      </c>
      <c r="F21" s="1">
        <v>4</v>
      </c>
      <c r="G21" s="1">
        <v>6.5</v>
      </c>
      <c r="H21" s="1">
        <v>73.2</v>
      </c>
      <c r="I21" s="1">
        <v>-46.6</v>
      </c>
      <c r="J21" s="1">
        <v>-34.1</v>
      </c>
      <c r="K21" s="1">
        <v>28.57</v>
      </c>
      <c r="L21" s="1">
        <f>LOG(F21,2)</f>
        <v>2</v>
      </c>
      <c r="M21" s="1">
        <f>LOG(G21,2)</f>
        <v>2.7004397181410922</v>
      </c>
      <c r="N21" s="14">
        <v>1542.038</v>
      </c>
      <c r="O21" s="1" t="s">
        <v>255</v>
      </c>
    </row>
    <row r="22" spans="1:15" s="1" customFormat="1">
      <c r="A22" s="2" t="s">
        <v>132</v>
      </c>
      <c r="B22" s="3" t="s">
        <v>133</v>
      </c>
      <c r="C22" s="1">
        <v>20.18</v>
      </c>
      <c r="D22" s="4">
        <v>2</v>
      </c>
      <c r="E22" s="4">
        <v>5</v>
      </c>
      <c r="F22" s="1">
        <v>4</v>
      </c>
      <c r="G22" s="1">
        <v>3.1</v>
      </c>
      <c r="H22" s="1">
        <v>80.3</v>
      </c>
      <c r="I22" s="1">
        <v>-41</v>
      </c>
      <c r="J22" s="1">
        <v>-32.9</v>
      </c>
      <c r="K22" s="1">
        <v>28.57</v>
      </c>
      <c r="L22" s="1">
        <f>LOG(F22,2)</f>
        <v>2</v>
      </c>
      <c r="M22" s="1">
        <f>LOG(G22,2)</f>
        <v>1.632268215499513</v>
      </c>
      <c r="N22" s="14">
        <v>1570.0920000000001</v>
      </c>
      <c r="O22" s="1" t="s">
        <v>255</v>
      </c>
    </row>
    <row r="23" spans="1:15" s="1" customFormat="1">
      <c r="A23" s="2" t="s">
        <v>177</v>
      </c>
      <c r="B23" s="3" t="s">
        <v>178</v>
      </c>
      <c r="C23" s="1">
        <v>20.059999999999999</v>
      </c>
      <c r="D23" s="4">
        <v>1</v>
      </c>
      <c r="E23" s="4">
        <v>5</v>
      </c>
      <c r="F23" s="1">
        <v>8</v>
      </c>
      <c r="G23" s="1">
        <v>1.8</v>
      </c>
      <c r="H23" s="1">
        <v>68.400000000000006</v>
      </c>
      <c r="I23" s="1">
        <v>-41</v>
      </c>
      <c r="J23" s="1">
        <v>-28.1</v>
      </c>
      <c r="K23" s="1">
        <v>28.57</v>
      </c>
      <c r="L23" s="1">
        <f>LOG(F23,2)</f>
        <v>3</v>
      </c>
      <c r="M23" s="1">
        <f>LOG(G23,2)</f>
        <v>0.84799690655495008</v>
      </c>
      <c r="N23" s="14">
        <v>1600.162</v>
      </c>
      <c r="O23" s="1" t="s">
        <v>255</v>
      </c>
    </row>
    <row r="24" spans="1:15" s="1" customFormat="1">
      <c r="A24" s="2" t="s">
        <v>206</v>
      </c>
      <c r="B24" s="3" t="s">
        <v>207</v>
      </c>
      <c r="C24" s="1">
        <v>19.940000000000001</v>
      </c>
      <c r="D24" s="4">
        <v>0</v>
      </c>
      <c r="E24" s="4">
        <v>5</v>
      </c>
      <c r="F24" s="1">
        <v>4</v>
      </c>
      <c r="G24" s="1">
        <v>2.8</v>
      </c>
      <c r="H24" s="1">
        <v>60.1</v>
      </c>
      <c r="I24" s="1">
        <v>-43.7</v>
      </c>
      <c r="J24" s="1">
        <v>-26.2</v>
      </c>
      <c r="K24" s="1">
        <v>28.57</v>
      </c>
      <c r="L24" s="1">
        <f>LOG(F24,2)</f>
        <v>2</v>
      </c>
      <c r="M24" s="1">
        <f>LOG(G24,2)</f>
        <v>1.4854268271702415</v>
      </c>
      <c r="N24" s="14">
        <v>1602.1780000000001</v>
      </c>
      <c r="O24" s="1" t="s">
        <v>255</v>
      </c>
    </row>
    <row r="25" spans="1:15" s="1" customFormat="1">
      <c r="A25" s="2" t="s">
        <v>18</v>
      </c>
      <c r="B25" s="3" t="s">
        <v>17</v>
      </c>
      <c r="C25" s="1">
        <v>19.88</v>
      </c>
      <c r="D25" s="4">
        <v>2</v>
      </c>
      <c r="E25" s="4">
        <v>5</v>
      </c>
      <c r="F25" s="1">
        <v>8</v>
      </c>
      <c r="G25" s="1">
        <v>3.9</v>
      </c>
      <c r="H25" s="1">
        <v>93.6</v>
      </c>
      <c r="I25" s="1">
        <v>-42.4</v>
      </c>
      <c r="J25" s="1">
        <v>-39.700000000000003</v>
      </c>
      <c r="K25" s="1">
        <v>25</v>
      </c>
      <c r="L25" s="1">
        <f>LOG(F25,2)</f>
        <v>3</v>
      </c>
      <c r="M25" s="1">
        <f>LOG(G25,2)</f>
        <v>1.9634741239748859</v>
      </c>
      <c r="N25" s="14">
        <v>1614.145</v>
      </c>
      <c r="O25" s="1" t="s">
        <v>255</v>
      </c>
    </row>
    <row r="26" spans="1:15" s="1" customFormat="1">
      <c r="A26" s="2" t="s">
        <v>216</v>
      </c>
      <c r="B26" s="3" t="s">
        <v>217</v>
      </c>
      <c r="C26" s="1">
        <v>19.88</v>
      </c>
      <c r="D26" s="4">
        <v>0</v>
      </c>
      <c r="E26" s="4">
        <v>5</v>
      </c>
      <c r="F26" s="1">
        <v>8</v>
      </c>
      <c r="G26" s="1">
        <v>2.6</v>
      </c>
      <c r="H26" s="1">
        <v>70.599999999999994</v>
      </c>
      <c r="I26" s="1">
        <v>-36.6</v>
      </c>
      <c r="J26" s="1">
        <v>-25.8</v>
      </c>
      <c r="K26" s="1">
        <v>28.57</v>
      </c>
      <c r="L26" s="1">
        <f>LOG(F26,2)</f>
        <v>3</v>
      </c>
      <c r="M26" s="1">
        <f>LOG(G26,2)</f>
        <v>1.3785116232537298</v>
      </c>
      <c r="N26" s="14">
        <v>1602.1780000000001</v>
      </c>
      <c r="O26" s="1" t="s">
        <v>255</v>
      </c>
    </row>
    <row r="27" spans="1:15" s="1" customFormat="1">
      <c r="A27" s="2" t="s">
        <v>214</v>
      </c>
      <c r="B27" s="3" t="s">
        <v>215</v>
      </c>
      <c r="C27" s="1">
        <v>19.87</v>
      </c>
      <c r="D27" s="4">
        <v>0</v>
      </c>
      <c r="E27" s="4">
        <v>5</v>
      </c>
      <c r="F27" s="1">
        <v>8</v>
      </c>
      <c r="G27" s="1">
        <v>2.8</v>
      </c>
      <c r="H27" s="1">
        <v>58</v>
      </c>
      <c r="I27" s="1">
        <v>-44.2</v>
      </c>
      <c r="J27" s="1">
        <v>-25.6</v>
      </c>
      <c r="K27" s="1">
        <v>28.57</v>
      </c>
      <c r="L27" s="1">
        <f>LOG(F27,2)</f>
        <v>3</v>
      </c>
      <c r="M27" s="1">
        <f>LOG(G27,2)</f>
        <v>1.4854268271702415</v>
      </c>
      <c r="N27" s="14">
        <v>1574.124</v>
      </c>
      <c r="O27" s="1" t="s">
        <v>255</v>
      </c>
    </row>
    <row r="28" spans="1:15" s="1" customFormat="1">
      <c r="A28" s="2" t="s">
        <v>210</v>
      </c>
      <c r="B28" s="3" t="s">
        <v>211</v>
      </c>
      <c r="C28" s="1">
        <v>19.75</v>
      </c>
      <c r="D28" s="4">
        <v>0</v>
      </c>
      <c r="E28" s="4">
        <v>5</v>
      </c>
      <c r="F28" s="1">
        <v>8</v>
      </c>
      <c r="G28" s="1">
        <v>8.6999999999999993</v>
      </c>
      <c r="H28" s="1">
        <v>51.6</v>
      </c>
      <c r="I28" s="1">
        <v>-55.1</v>
      </c>
      <c r="J28" s="1">
        <v>-28.4</v>
      </c>
      <c r="K28" s="1">
        <v>28.57</v>
      </c>
      <c r="L28" s="1">
        <f>LOG(F28,2)</f>
        <v>3</v>
      </c>
      <c r="M28" s="1">
        <f>LOG(G28,2)</f>
        <v>3.1210154009613658</v>
      </c>
      <c r="N28" s="14">
        <v>1604.15</v>
      </c>
      <c r="O28" s="1" t="s">
        <v>255</v>
      </c>
    </row>
    <row r="29" spans="1:15" s="1" customFormat="1">
      <c r="A29" s="2" t="s">
        <v>160</v>
      </c>
      <c r="B29" s="3" t="s">
        <v>80</v>
      </c>
      <c r="C29" s="1">
        <v>19.71</v>
      </c>
      <c r="D29" s="4">
        <v>2</v>
      </c>
      <c r="E29" s="4">
        <v>5</v>
      </c>
      <c r="F29" s="1">
        <v>8</v>
      </c>
      <c r="G29" s="1">
        <v>10.8</v>
      </c>
      <c r="H29" s="1">
        <v>68.400000000000006</v>
      </c>
      <c r="I29" s="1">
        <v>-46.9</v>
      </c>
      <c r="J29" s="1">
        <v>-32.1</v>
      </c>
      <c r="K29" s="1">
        <v>28.57</v>
      </c>
      <c r="L29" s="1">
        <f>LOG(F29,2)</f>
        <v>3</v>
      </c>
      <c r="M29" s="1">
        <f>LOG(G29,2)</f>
        <v>3.4329594072761065</v>
      </c>
      <c r="N29" s="14">
        <v>1558.037</v>
      </c>
      <c r="O29" s="1" t="s">
        <v>255</v>
      </c>
    </row>
    <row r="30" spans="1:15" s="1" customFormat="1">
      <c r="A30" s="2" t="s">
        <v>86</v>
      </c>
      <c r="B30" s="3" t="s">
        <v>87</v>
      </c>
      <c r="C30" s="1">
        <v>19.7</v>
      </c>
      <c r="D30" s="4">
        <v>2</v>
      </c>
      <c r="E30" s="4">
        <v>5</v>
      </c>
      <c r="F30" s="1">
        <v>8</v>
      </c>
      <c r="G30" s="1">
        <v>18.8</v>
      </c>
      <c r="H30" s="1">
        <v>55.4</v>
      </c>
      <c r="I30" s="1">
        <v>-54.4</v>
      </c>
      <c r="J30" s="1">
        <v>-30.1</v>
      </c>
      <c r="K30" s="1">
        <v>28.57</v>
      </c>
      <c r="L30" s="1">
        <f>LOG(F30,2)</f>
        <v>3</v>
      </c>
      <c r="M30" s="1">
        <f>LOG(G30,2)</f>
        <v>4.2326607567902759</v>
      </c>
      <c r="N30" s="14">
        <v>1558.037</v>
      </c>
      <c r="O30" s="1" t="s">
        <v>255</v>
      </c>
    </row>
    <row r="31" spans="1:15" s="1" customFormat="1">
      <c r="A31" s="2" t="s">
        <v>98</v>
      </c>
      <c r="B31" s="3" t="s">
        <v>99</v>
      </c>
      <c r="C31" s="1">
        <v>19.670000000000002</v>
      </c>
      <c r="D31" s="4">
        <v>2</v>
      </c>
      <c r="E31" s="4">
        <v>3</v>
      </c>
      <c r="F31" s="1">
        <v>16</v>
      </c>
      <c r="G31" s="1">
        <v>46.8</v>
      </c>
      <c r="H31" s="1">
        <v>73.099999999999994</v>
      </c>
      <c r="I31" s="1">
        <v>-54.7</v>
      </c>
      <c r="J31" s="1">
        <v>-40</v>
      </c>
      <c r="K31" s="1">
        <v>28.57</v>
      </c>
      <c r="L31" s="1">
        <f>LOG(F31,2)</f>
        <v>4</v>
      </c>
      <c r="M31" s="1">
        <f>LOG(G31,2)</f>
        <v>5.5484366246960422</v>
      </c>
      <c r="N31" s="14">
        <v>1502.8689999999999</v>
      </c>
      <c r="O31" s="1" t="s">
        <v>254</v>
      </c>
    </row>
    <row r="32" spans="1:15" s="1" customFormat="1">
      <c r="A32" s="2" t="s">
        <v>126</v>
      </c>
      <c r="B32" s="3" t="s">
        <v>127</v>
      </c>
      <c r="C32" s="1">
        <v>19.66</v>
      </c>
      <c r="D32" s="4">
        <v>2</v>
      </c>
      <c r="E32" s="4">
        <v>5</v>
      </c>
      <c r="F32" s="1">
        <v>8</v>
      </c>
      <c r="G32" s="1">
        <v>15.2</v>
      </c>
      <c r="H32" s="1">
        <v>61.1</v>
      </c>
      <c r="I32" s="1">
        <v>-56.4</v>
      </c>
      <c r="J32" s="1">
        <v>-34.5</v>
      </c>
      <c r="K32" s="1">
        <v>28.57</v>
      </c>
      <c r="L32" s="1">
        <f>LOG(F32,2)</f>
        <v>3</v>
      </c>
      <c r="M32" s="1">
        <f>LOG(G32,2)</f>
        <v>3.925999418556223</v>
      </c>
      <c r="N32" s="14">
        <v>1572.0640000000001</v>
      </c>
      <c r="O32" s="1" t="s">
        <v>255</v>
      </c>
    </row>
    <row r="33" spans="1:15" s="1" customFormat="1">
      <c r="A33" s="2" t="s">
        <v>150</v>
      </c>
      <c r="B33" s="3" t="s">
        <v>80</v>
      </c>
      <c r="C33" s="1">
        <v>19.61</v>
      </c>
      <c r="D33" s="4">
        <v>2</v>
      </c>
      <c r="E33" s="4">
        <v>5</v>
      </c>
      <c r="F33" s="1">
        <v>8</v>
      </c>
      <c r="G33" s="1">
        <v>11.7</v>
      </c>
      <c r="H33" s="1">
        <v>72.7</v>
      </c>
      <c r="I33" s="1">
        <v>-52.1</v>
      </c>
      <c r="J33" s="1">
        <v>-37.9</v>
      </c>
      <c r="K33" s="1">
        <v>28.57</v>
      </c>
      <c r="L33" s="1">
        <f>LOG(F33,2)</f>
        <v>3</v>
      </c>
      <c r="M33" s="1">
        <f>LOG(G33,2)</f>
        <v>3.5484366246960422</v>
      </c>
      <c r="N33" s="14">
        <v>1544.01</v>
      </c>
      <c r="O33" s="1" t="s">
        <v>255</v>
      </c>
    </row>
    <row r="34" spans="1:15" s="1" customFormat="1">
      <c r="A34" s="2" t="s">
        <v>195</v>
      </c>
      <c r="B34" s="3" t="s">
        <v>196</v>
      </c>
      <c r="C34" s="1">
        <v>19.579999999999998</v>
      </c>
      <c r="D34" s="4">
        <v>0</v>
      </c>
      <c r="E34" s="4">
        <v>5</v>
      </c>
      <c r="F34" s="1">
        <v>4</v>
      </c>
      <c r="G34" s="1">
        <v>5.3</v>
      </c>
      <c r="H34" s="1">
        <v>81.8</v>
      </c>
      <c r="I34" s="1">
        <v>-47.2</v>
      </c>
      <c r="J34" s="1">
        <v>-38.6</v>
      </c>
      <c r="K34" s="1">
        <v>28.57</v>
      </c>
      <c r="L34" s="1">
        <f>LOG(F34,2)</f>
        <v>2</v>
      </c>
      <c r="M34" s="1">
        <f>LOG(G34,2)</f>
        <v>2.4059923596758366</v>
      </c>
      <c r="N34" s="14">
        <v>1574.124</v>
      </c>
      <c r="O34" s="1" t="s">
        <v>255</v>
      </c>
    </row>
    <row r="35" spans="1:15" s="1" customFormat="1" ht="15" customHeight="1">
      <c r="A35" s="2" t="s">
        <v>108</v>
      </c>
      <c r="B35" s="3" t="s">
        <v>109</v>
      </c>
      <c r="C35" s="1">
        <v>19.57</v>
      </c>
      <c r="D35" s="4">
        <v>2</v>
      </c>
      <c r="E35" s="4">
        <v>5</v>
      </c>
      <c r="F35" s="1">
        <v>8</v>
      </c>
      <c r="G35" s="1">
        <v>6.4</v>
      </c>
      <c r="H35" s="1">
        <v>87.3</v>
      </c>
      <c r="I35" s="1">
        <v>-46.6</v>
      </c>
      <c r="J35" s="1">
        <v>-40.700000000000003</v>
      </c>
      <c r="K35" s="1">
        <v>28.57</v>
      </c>
      <c r="L35" s="1">
        <f>LOG(F35,2)</f>
        <v>3</v>
      </c>
      <c r="M35" s="1">
        <f>LOG(G35,2)</f>
        <v>2.6780719051126378</v>
      </c>
      <c r="N35" s="14">
        <v>1542.038</v>
      </c>
      <c r="O35" s="1" t="s">
        <v>255</v>
      </c>
    </row>
    <row r="36" spans="1:15" s="1" customFormat="1">
      <c r="A36" s="2" t="s">
        <v>128</v>
      </c>
      <c r="B36" s="3" t="s">
        <v>129</v>
      </c>
      <c r="C36" s="1">
        <v>19.489999999999998</v>
      </c>
      <c r="D36" s="4">
        <v>2</v>
      </c>
      <c r="E36" s="4">
        <v>5</v>
      </c>
      <c r="F36" s="1">
        <v>4</v>
      </c>
      <c r="G36" s="1">
        <v>7.6</v>
      </c>
      <c r="H36" s="1">
        <v>76.599999999999994</v>
      </c>
      <c r="I36" s="1">
        <v>-45.4</v>
      </c>
      <c r="J36" s="1">
        <v>-34.700000000000003</v>
      </c>
      <c r="K36" s="1">
        <v>28.57</v>
      </c>
      <c r="L36" s="1">
        <f>LOG(F36,2)</f>
        <v>2</v>
      </c>
      <c r="M36" s="1">
        <f>LOG(G36,2)</f>
        <v>2.925999418556223</v>
      </c>
      <c r="N36" s="14">
        <v>1542.038</v>
      </c>
      <c r="O36" s="1" t="s">
        <v>255</v>
      </c>
    </row>
    <row r="37" spans="1:15">
      <c r="A37" s="2" t="s">
        <v>42</v>
      </c>
      <c r="B37" s="3" t="s">
        <v>43</v>
      </c>
      <c r="C37" s="1">
        <v>19.45</v>
      </c>
      <c r="D37" s="4">
        <v>2</v>
      </c>
      <c r="E37" s="4">
        <v>5</v>
      </c>
      <c r="F37" s="1">
        <v>8</v>
      </c>
      <c r="G37" s="21">
        <v>3.5</v>
      </c>
      <c r="H37" s="1">
        <v>88</v>
      </c>
      <c r="I37" s="1">
        <v>-44.6</v>
      </c>
      <c r="J37" s="1">
        <v>-39.299999999999997</v>
      </c>
      <c r="K37" s="1">
        <v>33.33</v>
      </c>
      <c r="L37" s="1">
        <f>LOG(F37,2)</f>
        <v>3</v>
      </c>
      <c r="M37" s="1">
        <f>LOG(G37,2)</f>
        <v>1.8073549220576042</v>
      </c>
      <c r="N37" s="12">
        <v>1550.1020000000001</v>
      </c>
      <c r="O37" s="1" t="s">
        <v>254</v>
      </c>
    </row>
    <row r="38" spans="1:15">
      <c r="A38" s="2" t="s">
        <v>136</v>
      </c>
      <c r="B38" s="3" t="s">
        <v>137</v>
      </c>
      <c r="C38" s="1">
        <v>19.399999999999999</v>
      </c>
      <c r="D38" s="4">
        <v>2</v>
      </c>
      <c r="E38" s="4">
        <v>5</v>
      </c>
      <c r="F38" s="1">
        <v>4</v>
      </c>
      <c r="G38" s="21">
        <v>5.5</v>
      </c>
      <c r="H38" s="1">
        <v>85.4</v>
      </c>
      <c r="I38" s="1">
        <v>-43.8</v>
      </c>
      <c r="J38" s="1">
        <v>-37.4</v>
      </c>
      <c r="K38" s="1">
        <v>28.57</v>
      </c>
      <c r="L38" s="1">
        <f>LOG(F38,2)</f>
        <v>2</v>
      </c>
      <c r="M38" s="1">
        <f>LOG(G38,2)</f>
        <v>2.4594316186372973</v>
      </c>
      <c r="N38" s="14">
        <v>1570.0920000000001</v>
      </c>
      <c r="O38" s="1" t="s">
        <v>255</v>
      </c>
    </row>
    <row r="39" spans="1:15" s="1" customFormat="1">
      <c r="A39" s="2" t="s">
        <v>182</v>
      </c>
      <c r="B39" s="3" t="s">
        <v>183</v>
      </c>
      <c r="C39" s="1">
        <v>19.34</v>
      </c>
      <c r="D39" s="4">
        <v>0</v>
      </c>
      <c r="E39" s="4">
        <v>5</v>
      </c>
      <c r="F39" s="1">
        <v>8</v>
      </c>
      <c r="G39" s="1">
        <v>10.5</v>
      </c>
      <c r="H39" s="1">
        <v>38.6</v>
      </c>
      <c r="I39" s="1">
        <v>-54.1</v>
      </c>
      <c r="J39" s="1">
        <v>-20.9</v>
      </c>
      <c r="K39" s="1">
        <v>28.57</v>
      </c>
      <c r="L39" s="1">
        <f>LOG(F39,2)</f>
        <v>3</v>
      </c>
      <c r="M39" s="1">
        <f>LOG(G39,2)</f>
        <v>3.3923174227787602</v>
      </c>
      <c r="N39" s="14">
        <v>1590.123</v>
      </c>
      <c r="O39" s="1" t="s">
        <v>255</v>
      </c>
    </row>
    <row r="40" spans="1:15" s="1" customFormat="1">
      <c r="A40" s="2" t="s">
        <v>123</v>
      </c>
      <c r="B40" s="3" t="s">
        <v>124</v>
      </c>
      <c r="C40" s="1">
        <v>19.29</v>
      </c>
      <c r="D40" s="4">
        <v>2</v>
      </c>
      <c r="E40" s="4">
        <v>5</v>
      </c>
      <c r="F40" s="1">
        <v>8</v>
      </c>
      <c r="G40" s="1">
        <v>19.7</v>
      </c>
      <c r="H40" s="1">
        <v>62.2</v>
      </c>
      <c r="I40" s="1">
        <v>-55</v>
      </c>
      <c r="J40" s="1">
        <v>-34.200000000000003</v>
      </c>
      <c r="K40" s="1">
        <v>28.57</v>
      </c>
      <c r="L40" s="1">
        <f>LOG(F40,2)</f>
        <v>3</v>
      </c>
      <c r="M40" s="1">
        <f>LOG(G40,2)</f>
        <v>4.3001237245690138</v>
      </c>
      <c r="N40" s="14">
        <v>1558.037</v>
      </c>
      <c r="O40" s="1" t="s">
        <v>255</v>
      </c>
    </row>
    <row r="41" spans="1:15" s="1" customFormat="1">
      <c r="A41" s="2" t="s">
        <v>44</v>
      </c>
      <c r="B41" s="3" t="s">
        <v>38</v>
      </c>
      <c r="C41" s="1">
        <v>19.170000000000002</v>
      </c>
      <c r="D41" s="4">
        <v>2</v>
      </c>
      <c r="E41" s="4">
        <v>5</v>
      </c>
      <c r="F41" s="1">
        <v>8</v>
      </c>
      <c r="G41" s="1">
        <v>6</v>
      </c>
      <c r="H41" s="1">
        <v>94.6</v>
      </c>
      <c r="I41" s="1">
        <v>-36.200000000000003</v>
      </c>
      <c r="J41" s="1">
        <v>-34.299999999999997</v>
      </c>
      <c r="K41" s="1">
        <v>33.33</v>
      </c>
      <c r="L41" s="1">
        <f>LOG(F41,2)</f>
        <v>3</v>
      </c>
      <c r="M41" s="1">
        <f>LOG(G41,2)</f>
        <v>2.5849625007211561</v>
      </c>
      <c r="N41" s="14">
        <v>1580.1279999999999</v>
      </c>
      <c r="O41" s="1" t="s">
        <v>255</v>
      </c>
    </row>
    <row r="42" spans="1:15" s="1" customFormat="1">
      <c r="A42" s="2" t="s">
        <v>92</v>
      </c>
      <c r="B42" s="3" t="s">
        <v>93</v>
      </c>
      <c r="C42" s="1">
        <v>19.170000000000002</v>
      </c>
      <c r="D42" s="4">
        <v>2</v>
      </c>
      <c r="E42" s="4">
        <v>3</v>
      </c>
      <c r="F42" s="1">
        <v>64</v>
      </c>
      <c r="G42" s="1">
        <v>143.19999999999999</v>
      </c>
      <c r="H42" s="1">
        <v>70.7</v>
      </c>
      <c r="I42" s="1">
        <v>-54.2</v>
      </c>
      <c r="J42" s="1">
        <v>-38.299999999999997</v>
      </c>
      <c r="K42" s="1">
        <v>28.57</v>
      </c>
      <c r="L42" s="1">
        <f>LOG(F42,2)</f>
        <v>6</v>
      </c>
      <c r="M42" s="1">
        <f>LOG(G42,2)</f>
        <v>7.1618876823768947</v>
      </c>
      <c r="N42" s="14">
        <v>1516.896</v>
      </c>
      <c r="O42" s="1" t="s">
        <v>254</v>
      </c>
    </row>
    <row r="43" spans="1:15" s="1" customFormat="1">
      <c r="A43" s="2" t="s">
        <v>212</v>
      </c>
      <c r="B43" s="3" t="s">
        <v>213</v>
      </c>
      <c r="C43" s="1">
        <v>19.100000000000001</v>
      </c>
      <c r="D43" s="4">
        <v>0</v>
      </c>
      <c r="E43" s="4">
        <v>5</v>
      </c>
      <c r="F43" s="1">
        <v>4</v>
      </c>
      <c r="G43" s="1">
        <v>4</v>
      </c>
      <c r="H43" s="1">
        <v>73.2</v>
      </c>
      <c r="I43" s="1">
        <v>-34.200000000000003</v>
      </c>
      <c r="J43" s="1">
        <v>-25</v>
      </c>
      <c r="K43" s="1">
        <v>28.57</v>
      </c>
      <c r="L43" s="1">
        <f>LOG(F43,2)</f>
        <v>2</v>
      </c>
      <c r="M43" s="1">
        <f>LOG(G43,2)</f>
        <v>2</v>
      </c>
      <c r="N43" s="14">
        <v>1574.124</v>
      </c>
      <c r="O43" s="1" t="s">
        <v>255</v>
      </c>
    </row>
    <row r="44" spans="1:15" s="1" customFormat="1">
      <c r="A44" s="2" t="s">
        <v>134</v>
      </c>
      <c r="B44" s="3" t="s">
        <v>135</v>
      </c>
      <c r="C44" s="1">
        <v>18.989999999999998</v>
      </c>
      <c r="D44" s="4">
        <v>2</v>
      </c>
      <c r="E44" s="4">
        <v>5</v>
      </c>
      <c r="F44" s="1">
        <v>8</v>
      </c>
      <c r="G44" s="1">
        <v>9.6999999999999993</v>
      </c>
      <c r="H44" s="1">
        <v>87.1</v>
      </c>
      <c r="I44" s="1">
        <v>-47</v>
      </c>
      <c r="J44" s="1">
        <v>-40.9</v>
      </c>
      <c r="K44" s="1">
        <v>28.57</v>
      </c>
      <c r="L44" s="1">
        <f>LOG(F44,2)</f>
        <v>3</v>
      </c>
      <c r="M44" s="1">
        <f>LOG(G44,2)</f>
        <v>3.2779847472997652</v>
      </c>
      <c r="N44" s="14">
        <v>1542.038</v>
      </c>
      <c r="O44" s="1" t="s">
        <v>255</v>
      </c>
    </row>
    <row r="45" spans="1:15" s="1" customFormat="1">
      <c r="A45" s="2" t="s">
        <v>22</v>
      </c>
      <c r="B45" s="3" t="s">
        <v>17</v>
      </c>
      <c r="C45" s="1">
        <v>18.940000000000001</v>
      </c>
      <c r="D45" s="4">
        <v>2</v>
      </c>
      <c r="E45" s="4">
        <v>5</v>
      </c>
      <c r="F45" s="1">
        <v>8</v>
      </c>
      <c r="G45" s="1">
        <v>13.1</v>
      </c>
      <c r="H45" s="1">
        <v>80.099999999999994</v>
      </c>
      <c r="I45" s="1">
        <v>-42.6</v>
      </c>
      <c r="J45" s="1">
        <v>-34.200000000000003</v>
      </c>
      <c r="K45" s="1">
        <v>25</v>
      </c>
      <c r="L45" s="1">
        <f>LOG(F45,2)</f>
        <v>3</v>
      </c>
      <c r="M45" s="1">
        <f>LOG(G45,2)</f>
        <v>3.711494906650088</v>
      </c>
      <c r="N45" s="14">
        <v>1574.0360000000001</v>
      </c>
      <c r="O45" s="1" t="s">
        <v>255</v>
      </c>
    </row>
    <row r="46" spans="1:15" s="1" customFormat="1">
      <c r="A46" s="2" t="s">
        <v>25</v>
      </c>
      <c r="B46" s="3" t="s">
        <v>17</v>
      </c>
      <c r="C46" s="1">
        <v>18.920000000000002</v>
      </c>
      <c r="D46" s="4">
        <v>2</v>
      </c>
      <c r="E46" s="4">
        <v>5</v>
      </c>
      <c r="F46" s="1">
        <v>8</v>
      </c>
      <c r="G46" s="1">
        <v>7.8</v>
      </c>
      <c r="H46" s="1">
        <v>80.5</v>
      </c>
      <c r="I46" s="1">
        <v>-37.700000000000003</v>
      </c>
      <c r="J46" s="1">
        <v>-30.3</v>
      </c>
      <c r="K46" s="1">
        <v>25</v>
      </c>
      <c r="L46" s="1">
        <f>LOG(F46,2)</f>
        <v>3</v>
      </c>
      <c r="M46" s="1">
        <f>LOG(G46,2)</f>
        <v>2.9634741239748865</v>
      </c>
      <c r="N46" s="14">
        <v>1542.038</v>
      </c>
      <c r="O46" s="1" t="s">
        <v>254</v>
      </c>
    </row>
    <row r="47" spans="1:15" s="1" customFormat="1">
      <c r="A47" s="2" t="s">
        <v>32</v>
      </c>
      <c r="B47" s="3" t="s">
        <v>33</v>
      </c>
      <c r="C47" s="1">
        <v>18.91</v>
      </c>
      <c r="D47" s="4">
        <v>0</v>
      </c>
      <c r="E47" s="4">
        <v>5</v>
      </c>
      <c r="F47" s="1">
        <v>8</v>
      </c>
      <c r="G47" s="1">
        <v>12.2</v>
      </c>
      <c r="H47" s="1">
        <v>43.9</v>
      </c>
      <c r="I47" s="1">
        <v>-54.8</v>
      </c>
      <c r="J47" s="1">
        <v>-24</v>
      </c>
      <c r="K47" s="1">
        <v>25</v>
      </c>
      <c r="L47" s="1">
        <f>LOG(F47,2)</f>
        <v>3</v>
      </c>
      <c r="M47" s="1">
        <f>LOG(G47,2)</f>
        <v>3.6088092426755241</v>
      </c>
      <c r="N47" s="14">
        <v>1576.096</v>
      </c>
      <c r="O47" s="1" t="s">
        <v>255</v>
      </c>
    </row>
    <row r="48" spans="1:15" s="1" customFormat="1">
      <c r="A48" s="2" t="s">
        <v>45</v>
      </c>
      <c r="B48" s="3" t="s">
        <v>38</v>
      </c>
      <c r="C48" s="1">
        <v>18.88</v>
      </c>
      <c r="D48" s="4">
        <v>2</v>
      </c>
      <c r="E48" s="4">
        <v>5</v>
      </c>
      <c r="F48" s="1">
        <v>16</v>
      </c>
      <c r="G48" s="1">
        <v>9.1999999999999993</v>
      </c>
      <c r="H48" s="1">
        <v>97.1</v>
      </c>
      <c r="I48" s="1">
        <v>-35.700000000000003</v>
      </c>
      <c r="J48" s="1">
        <v>-34.6</v>
      </c>
      <c r="K48" s="1">
        <v>33.33</v>
      </c>
      <c r="L48" s="1">
        <f>LOG(F48,2)</f>
        <v>4</v>
      </c>
      <c r="M48" s="1">
        <f>LOG(G48,2)</f>
        <v>3.2016338611696504</v>
      </c>
      <c r="N48" s="14">
        <v>1594.155</v>
      </c>
      <c r="O48" s="1" t="s">
        <v>255</v>
      </c>
    </row>
    <row r="49" spans="1:15" s="1" customFormat="1">
      <c r="A49" s="2" t="s">
        <v>208</v>
      </c>
      <c r="B49" s="3" t="s">
        <v>209</v>
      </c>
      <c r="C49" s="1">
        <v>18.84</v>
      </c>
      <c r="D49" s="4">
        <v>0</v>
      </c>
      <c r="E49" s="4">
        <v>5</v>
      </c>
      <c r="F49" s="1">
        <v>8</v>
      </c>
      <c r="G49" s="1">
        <v>16.100000000000001</v>
      </c>
      <c r="H49" s="1">
        <v>33.799999999999997</v>
      </c>
      <c r="I49" s="1">
        <v>-50.4</v>
      </c>
      <c r="J49" s="1">
        <v>-17</v>
      </c>
      <c r="K49" s="1">
        <v>28.57</v>
      </c>
      <c r="L49" s="1">
        <f>LOG(F49,2)</f>
        <v>3</v>
      </c>
      <c r="M49" s="1">
        <f>LOG(G49,2)</f>
        <v>4.008988783227255</v>
      </c>
      <c r="N49" s="15">
        <v>1590.123</v>
      </c>
      <c r="O49" s="1" t="s">
        <v>255</v>
      </c>
    </row>
    <row r="50" spans="1:15" s="1" customFormat="1">
      <c r="A50" s="2" t="s">
        <v>202</v>
      </c>
      <c r="B50" s="3" t="s">
        <v>203</v>
      </c>
      <c r="C50" s="1">
        <v>18.82</v>
      </c>
      <c r="D50" s="4">
        <v>0</v>
      </c>
      <c r="E50" s="4">
        <v>5</v>
      </c>
      <c r="F50" s="1">
        <v>8</v>
      </c>
      <c r="G50" s="1">
        <v>14.9</v>
      </c>
      <c r="H50" s="1">
        <v>46.9</v>
      </c>
      <c r="I50" s="1">
        <v>-52</v>
      </c>
      <c r="J50" s="1">
        <v>-24.4</v>
      </c>
      <c r="K50" s="1">
        <v>28.57</v>
      </c>
      <c r="L50" s="1">
        <f>LOG(F50,2)</f>
        <v>3</v>
      </c>
      <c r="M50" s="1">
        <f>LOG(G50,2)</f>
        <v>3.897240425574799</v>
      </c>
      <c r="N50" s="14">
        <v>1590.123</v>
      </c>
      <c r="O50" s="1" t="s">
        <v>255</v>
      </c>
    </row>
    <row r="51" spans="1:15" s="1" customFormat="1">
      <c r="A51" s="2" t="s">
        <v>148</v>
      </c>
      <c r="B51" s="3" t="s">
        <v>80</v>
      </c>
      <c r="C51" s="1">
        <v>18.82</v>
      </c>
      <c r="D51" s="4">
        <v>2</v>
      </c>
      <c r="E51" s="4">
        <v>5</v>
      </c>
      <c r="F51" s="1">
        <v>8</v>
      </c>
      <c r="G51" s="1">
        <v>19.8</v>
      </c>
      <c r="H51" s="1">
        <v>69.900000000000006</v>
      </c>
      <c r="I51" s="1">
        <v>-51.9</v>
      </c>
      <c r="J51" s="1">
        <v>-36.299999999999997</v>
      </c>
      <c r="K51" s="1">
        <v>28.57</v>
      </c>
      <c r="L51" s="1">
        <f>LOG(F51,2)</f>
        <v>3</v>
      </c>
      <c r="M51" s="1">
        <f>LOG(G51,2)</f>
        <v>4.3074285251922477</v>
      </c>
      <c r="N51" s="14">
        <v>1544.01</v>
      </c>
      <c r="O51" s="1" t="s">
        <v>255</v>
      </c>
    </row>
    <row r="52" spans="1:15" s="1" customFormat="1">
      <c r="A52" s="2" t="s">
        <v>114</v>
      </c>
      <c r="B52" s="3" t="s">
        <v>115</v>
      </c>
      <c r="C52" s="1">
        <v>18.78</v>
      </c>
      <c r="D52" s="4">
        <v>2</v>
      </c>
      <c r="E52" s="4">
        <v>5</v>
      </c>
      <c r="F52" s="1">
        <v>8</v>
      </c>
      <c r="G52" s="1">
        <v>29</v>
      </c>
      <c r="H52" s="1">
        <v>60.8</v>
      </c>
      <c r="I52" s="1">
        <v>-55.2</v>
      </c>
      <c r="J52" s="1">
        <v>-33.6</v>
      </c>
      <c r="K52" s="1">
        <v>28.57</v>
      </c>
      <c r="L52" s="1">
        <f>LOG(F52,2)</f>
        <v>3</v>
      </c>
      <c r="M52" s="1">
        <f>LOG(G52,2)</f>
        <v>4.8579809951275728</v>
      </c>
      <c r="N52" s="14">
        <v>1558.037</v>
      </c>
      <c r="O52" s="1" t="s">
        <v>255</v>
      </c>
    </row>
    <row r="53" spans="1:15" s="1" customFormat="1">
      <c r="A53" s="2" t="s">
        <v>63</v>
      </c>
      <c r="B53" s="3" t="s">
        <v>64</v>
      </c>
      <c r="C53" s="1">
        <v>18.72</v>
      </c>
      <c r="D53" s="4">
        <v>2</v>
      </c>
      <c r="E53" s="4">
        <v>5</v>
      </c>
      <c r="F53" s="1">
        <v>8</v>
      </c>
      <c r="G53" s="1">
        <v>20.7</v>
      </c>
      <c r="H53" s="1">
        <v>74.5</v>
      </c>
      <c r="I53" s="1">
        <v>-48.4</v>
      </c>
      <c r="J53" s="1">
        <v>-36.1</v>
      </c>
      <c r="K53" s="1">
        <v>33.33</v>
      </c>
      <c r="L53" s="1">
        <f>LOG(F53,2)</f>
        <v>3</v>
      </c>
      <c r="M53" s="1">
        <f>LOG(G53,2)</f>
        <v>4.3715588626119626</v>
      </c>
      <c r="N53" s="14">
        <v>1538.047</v>
      </c>
      <c r="O53" s="1" t="s">
        <v>255</v>
      </c>
    </row>
    <row r="54" spans="1:15" s="1" customFormat="1">
      <c r="A54" s="2" t="s">
        <v>189</v>
      </c>
      <c r="B54" s="3" t="s">
        <v>187</v>
      </c>
      <c r="C54" s="1">
        <v>18.7</v>
      </c>
      <c r="D54" s="4">
        <v>0</v>
      </c>
      <c r="E54" s="4">
        <v>5</v>
      </c>
      <c r="F54" s="1">
        <v>8</v>
      </c>
      <c r="G54" s="1">
        <v>4.5</v>
      </c>
      <c r="H54" s="1">
        <v>47.5</v>
      </c>
      <c r="I54" s="1">
        <v>-34.200000000000003</v>
      </c>
      <c r="J54" s="1">
        <v>-16.2</v>
      </c>
      <c r="K54" s="1">
        <v>28.57</v>
      </c>
      <c r="L54" s="1">
        <f>LOG(F54,2)</f>
        <v>3</v>
      </c>
      <c r="M54" s="1">
        <f>LOG(G54,2)</f>
        <v>2.1699250014423126</v>
      </c>
      <c r="N54" s="14">
        <v>1574.124</v>
      </c>
      <c r="O54" s="1" t="s">
        <v>255</v>
      </c>
    </row>
    <row r="55" spans="1:15" s="1" customFormat="1">
      <c r="A55" s="2" t="s">
        <v>117</v>
      </c>
      <c r="B55" s="3" t="s">
        <v>118</v>
      </c>
      <c r="C55" s="1">
        <v>18.68</v>
      </c>
      <c r="D55" s="4">
        <v>2</v>
      </c>
      <c r="E55" s="4">
        <v>5</v>
      </c>
      <c r="F55" s="1">
        <v>8</v>
      </c>
      <c r="G55" s="1">
        <v>17.3</v>
      </c>
      <c r="H55" s="1">
        <v>73.400000000000006</v>
      </c>
      <c r="I55" s="1">
        <v>-42.8</v>
      </c>
      <c r="J55" s="1">
        <v>-31.4</v>
      </c>
      <c r="K55" s="1">
        <v>28.57</v>
      </c>
      <c r="L55" s="1">
        <f>LOG(F55,2)</f>
        <v>3</v>
      </c>
      <c r="M55" s="1">
        <f>LOG(G55,2)</f>
        <v>4.1127001327493629</v>
      </c>
      <c r="N55" s="14">
        <v>1528.011</v>
      </c>
      <c r="O55" s="1" t="s">
        <v>255</v>
      </c>
    </row>
    <row r="56" spans="1:15" s="1" customFormat="1">
      <c r="A56" s="2" t="s">
        <v>41</v>
      </c>
      <c r="B56" s="3" t="s">
        <v>38</v>
      </c>
      <c r="C56" s="1">
        <v>18.68</v>
      </c>
      <c r="D56" s="4">
        <v>2</v>
      </c>
      <c r="E56" s="4">
        <v>5</v>
      </c>
      <c r="F56" s="1">
        <v>8</v>
      </c>
      <c r="G56" s="1">
        <v>10.7</v>
      </c>
      <c r="H56" s="1">
        <v>69.400000000000006</v>
      </c>
      <c r="I56" s="1">
        <v>-47.2</v>
      </c>
      <c r="J56" s="1">
        <v>-32.799999999999997</v>
      </c>
      <c r="K56" s="1">
        <v>33.33</v>
      </c>
      <c r="L56" s="1">
        <f>LOG(F56,2)</f>
        <v>3</v>
      </c>
      <c r="M56" s="1">
        <f>LOG(G56,2)</f>
        <v>3.4195388915137843</v>
      </c>
      <c r="N56" s="14">
        <v>1524.02</v>
      </c>
      <c r="O56" s="1" t="s">
        <v>255</v>
      </c>
    </row>
    <row r="57" spans="1:15" s="1" customFormat="1">
      <c r="A57" s="2" t="s">
        <v>72</v>
      </c>
      <c r="B57" s="3" t="s">
        <v>73</v>
      </c>
      <c r="C57" s="1">
        <v>18.66</v>
      </c>
      <c r="D57" s="4">
        <v>0</v>
      </c>
      <c r="E57" s="4">
        <v>5</v>
      </c>
      <c r="F57" s="1">
        <v>16</v>
      </c>
      <c r="G57" s="1">
        <v>23.2</v>
      </c>
      <c r="H57" s="1">
        <v>44</v>
      </c>
      <c r="I57" s="1">
        <v>-49.2</v>
      </c>
      <c r="J57" s="1">
        <v>-21.6</v>
      </c>
      <c r="K57" s="1">
        <v>33.33</v>
      </c>
      <c r="L57" s="1">
        <f>LOG(F57,2)</f>
        <v>4</v>
      </c>
      <c r="M57" s="1">
        <f>LOG(G57,2)</f>
        <v>4.5360529002402101</v>
      </c>
      <c r="N57" s="14">
        <v>1548.0419999999999</v>
      </c>
      <c r="O57" s="1" t="s">
        <v>254</v>
      </c>
    </row>
    <row r="58" spans="1:15" s="1" customFormat="1">
      <c r="A58" s="2" t="s">
        <v>218</v>
      </c>
      <c r="B58" s="3" t="s">
        <v>219</v>
      </c>
      <c r="C58" s="1">
        <v>18.64</v>
      </c>
      <c r="D58" s="4">
        <v>0</v>
      </c>
      <c r="E58" s="4">
        <v>5</v>
      </c>
      <c r="F58" s="1">
        <v>8</v>
      </c>
      <c r="G58" s="1">
        <v>8.5</v>
      </c>
      <c r="H58" s="1">
        <v>66</v>
      </c>
      <c r="I58" s="1">
        <v>-42.9</v>
      </c>
      <c r="J58" s="1">
        <v>-28.3</v>
      </c>
      <c r="K58" s="1">
        <v>28.57</v>
      </c>
      <c r="L58" s="1">
        <f>LOG(F58,2)</f>
        <v>3</v>
      </c>
      <c r="M58" s="1">
        <f>LOG(G58,2)</f>
        <v>3.0874628412503395</v>
      </c>
      <c r="N58" s="14">
        <v>1574.124</v>
      </c>
      <c r="O58" s="1" t="s">
        <v>255</v>
      </c>
    </row>
    <row r="59" spans="1:15" s="1" customFormat="1">
      <c r="A59" s="2" t="s">
        <v>23</v>
      </c>
      <c r="B59" s="3" t="s">
        <v>17</v>
      </c>
      <c r="C59" s="1">
        <v>18.64</v>
      </c>
      <c r="D59" s="4">
        <v>2</v>
      </c>
      <c r="E59" s="4">
        <v>5</v>
      </c>
      <c r="F59" s="1">
        <v>16</v>
      </c>
      <c r="G59" s="1">
        <v>28.7</v>
      </c>
      <c r="H59" s="1">
        <v>72.900000000000006</v>
      </c>
      <c r="I59" s="1">
        <v>-35.1</v>
      </c>
      <c r="J59" s="1">
        <v>-25.6</v>
      </c>
      <c r="K59" s="1">
        <v>25</v>
      </c>
      <c r="L59" s="1">
        <f>LOG(F59,2)</f>
        <v>4</v>
      </c>
      <c r="M59" s="1">
        <f>LOG(G59,2)</f>
        <v>4.8429788317883258</v>
      </c>
      <c r="N59" s="14">
        <v>1558.037</v>
      </c>
      <c r="O59" s="1" t="s">
        <v>255</v>
      </c>
    </row>
    <row r="60" spans="1:15" s="1" customFormat="1">
      <c r="A60" s="2" t="s">
        <v>24</v>
      </c>
      <c r="B60" s="3" t="s">
        <v>17</v>
      </c>
      <c r="C60" s="1">
        <v>18.63</v>
      </c>
      <c r="D60" s="4">
        <v>2</v>
      </c>
      <c r="E60" s="4">
        <v>5</v>
      </c>
      <c r="F60" s="1">
        <v>8</v>
      </c>
      <c r="G60" s="1">
        <v>12.3</v>
      </c>
      <c r="H60" s="1">
        <v>79.7</v>
      </c>
      <c r="I60" s="1">
        <v>-37.5</v>
      </c>
      <c r="J60" s="1">
        <v>-29.9</v>
      </c>
      <c r="K60" s="1">
        <v>25</v>
      </c>
      <c r="L60" s="1">
        <f>LOG(F60,2)</f>
        <v>3</v>
      </c>
      <c r="M60" s="1">
        <f>LOG(G60,2)</f>
        <v>3.6205864104518781</v>
      </c>
      <c r="N60" s="14">
        <v>1528.011</v>
      </c>
      <c r="O60" s="1" t="s">
        <v>255</v>
      </c>
    </row>
    <row r="61" spans="1:15" s="1" customFormat="1">
      <c r="A61" s="2" t="s">
        <v>39</v>
      </c>
      <c r="B61" s="3" t="s">
        <v>38</v>
      </c>
      <c r="C61" s="1">
        <v>18.59</v>
      </c>
      <c r="D61" s="4">
        <v>2</v>
      </c>
      <c r="E61" s="4">
        <v>5</v>
      </c>
      <c r="F61" s="1">
        <v>8</v>
      </c>
      <c r="G61" s="1">
        <v>15.7</v>
      </c>
      <c r="H61" s="1">
        <v>71.3</v>
      </c>
      <c r="I61" s="1">
        <v>-48.7</v>
      </c>
      <c r="J61" s="1">
        <v>-34.700000000000003</v>
      </c>
      <c r="K61" s="1">
        <v>33.33</v>
      </c>
      <c r="L61" s="1">
        <f>LOG(F61,2)</f>
        <v>3</v>
      </c>
      <c r="M61" s="1">
        <f>LOG(G61,2)</f>
        <v>3.9726926540042644</v>
      </c>
      <c r="N61" s="14">
        <v>1524.02</v>
      </c>
      <c r="O61" s="1" t="s">
        <v>255</v>
      </c>
    </row>
    <row r="62" spans="1:15" s="1" customFormat="1">
      <c r="A62" s="2" t="s">
        <v>256</v>
      </c>
      <c r="B62" s="3" t="s">
        <v>257</v>
      </c>
      <c r="C62" s="1">
        <v>18.54</v>
      </c>
      <c r="D62" s="4">
        <v>1</v>
      </c>
      <c r="E62" s="4">
        <v>5</v>
      </c>
      <c r="F62" s="1">
        <v>16</v>
      </c>
      <c r="G62" s="18">
        <v>38.799999999999997</v>
      </c>
      <c r="H62" s="1">
        <v>14.3</v>
      </c>
      <c r="I62" s="1">
        <v>-11.8</v>
      </c>
      <c r="J62" s="1">
        <v>-8.1</v>
      </c>
      <c r="K62" s="1">
        <v>42.86</v>
      </c>
      <c r="L62" s="1">
        <f>LOG(F62,2)</f>
        <v>4</v>
      </c>
      <c r="M62" s="1">
        <f>LOG(G62,2)</f>
        <v>5.2779847472997652</v>
      </c>
      <c r="N62" s="17">
        <v>1613.116027</v>
      </c>
      <c r="O62" s="1" t="s">
        <v>255</v>
      </c>
    </row>
    <row r="63" spans="1:15" s="1" customFormat="1">
      <c r="A63" s="2" t="s">
        <v>119</v>
      </c>
      <c r="B63" s="3" t="s">
        <v>120</v>
      </c>
      <c r="C63" s="1">
        <v>18.5</v>
      </c>
      <c r="D63" s="4">
        <v>2</v>
      </c>
      <c r="E63" s="4">
        <v>5</v>
      </c>
      <c r="F63" s="1">
        <v>8</v>
      </c>
      <c r="G63" s="1">
        <v>8.6</v>
      </c>
      <c r="H63" s="1">
        <v>78.400000000000006</v>
      </c>
      <c r="I63" s="1">
        <v>-44.1</v>
      </c>
      <c r="J63" s="1">
        <v>-34.5</v>
      </c>
      <c r="K63" s="1">
        <v>28.57</v>
      </c>
      <c r="L63" s="1">
        <f>LOG(F63,2)</f>
        <v>3</v>
      </c>
      <c r="M63" s="1">
        <f>LOG(G63,2)</f>
        <v>3.1043366598147353</v>
      </c>
      <c r="N63" s="14">
        <v>1556.0650000000001</v>
      </c>
      <c r="O63" s="1" t="s">
        <v>255</v>
      </c>
    </row>
    <row r="64" spans="1:15" s="1" customFormat="1">
      <c r="A64" s="2" t="s">
        <v>166</v>
      </c>
      <c r="B64" s="3" t="s">
        <v>80</v>
      </c>
      <c r="C64" s="1">
        <v>18.48</v>
      </c>
      <c r="D64" s="4">
        <v>2</v>
      </c>
      <c r="E64" s="4">
        <v>5</v>
      </c>
      <c r="F64" s="1">
        <v>16</v>
      </c>
      <c r="G64" s="1">
        <v>36.799999999999997</v>
      </c>
      <c r="H64" s="1">
        <v>74</v>
      </c>
      <c r="I64" s="1">
        <v>-43.4</v>
      </c>
      <c r="J64" s="1">
        <v>-32.1</v>
      </c>
      <c r="K64" s="1">
        <v>28.57</v>
      </c>
      <c r="L64" s="1">
        <f>LOG(F64,2)</f>
        <v>4</v>
      </c>
      <c r="M64" s="1">
        <f>LOG(G64,2)</f>
        <v>5.2016338611696504</v>
      </c>
      <c r="N64" s="16">
        <v>1588.0630000000001</v>
      </c>
      <c r="O64" s="1" t="s">
        <v>255</v>
      </c>
    </row>
    <row r="65" spans="1:15" s="1" customFormat="1">
      <c r="A65" s="2" t="s">
        <v>159</v>
      </c>
      <c r="B65" s="3" t="s">
        <v>80</v>
      </c>
      <c r="C65" s="1">
        <v>18.39</v>
      </c>
      <c r="D65" s="4">
        <v>2</v>
      </c>
      <c r="E65" s="4">
        <v>5</v>
      </c>
      <c r="F65" s="1">
        <v>8</v>
      </c>
      <c r="G65" s="1">
        <v>24.8</v>
      </c>
      <c r="H65" s="1">
        <v>67.5</v>
      </c>
      <c r="I65" s="1">
        <v>-49.7</v>
      </c>
      <c r="J65" s="1">
        <v>-33.6</v>
      </c>
      <c r="K65" s="1">
        <v>28.57</v>
      </c>
      <c r="L65" s="1">
        <f>LOG(F65,2)</f>
        <v>3</v>
      </c>
      <c r="M65" s="1">
        <f>LOG(G65,2)</f>
        <v>4.6322682154995132</v>
      </c>
      <c r="N65" s="14">
        <v>1529.9829999999999</v>
      </c>
      <c r="O65" s="1" t="s">
        <v>255</v>
      </c>
    </row>
    <row r="66" spans="1:15" s="1" customFormat="1">
      <c r="A66" s="2" t="s">
        <v>163</v>
      </c>
      <c r="B66" s="3" t="s">
        <v>80</v>
      </c>
      <c r="C66" s="1">
        <v>18.38</v>
      </c>
      <c r="D66" s="4">
        <v>2</v>
      </c>
      <c r="E66" s="4">
        <v>5</v>
      </c>
      <c r="F66" s="1">
        <v>16</v>
      </c>
      <c r="G66" s="1">
        <v>30.9</v>
      </c>
      <c r="H66" s="1">
        <v>74.400000000000006</v>
      </c>
      <c r="I66" s="1">
        <v>-44.9</v>
      </c>
      <c r="J66" s="1">
        <v>-33.4</v>
      </c>
      <c r="K66" s="1">
        <v>28.57</v>
      </c>
      <c r="L66" s="1">
        <f>LOG(F66,2)</f>
        <v>4</v>
      </c>
      <c r="M66" s="1">
        <f>LOG(G66,2)</f>
        <v>4.949534933017012</v>
      </c>
      <c r="N66" s="14">
        <v>1574.0360000000001</v>
      </c>
      <c r="O66" s="1" t="s">
        <v>255</v>
      </c>
    </row>
    <row r="67" spans="1:15" s="1" customFormat="1">
      <c r="A67" s="2" t="s">
        <v>110</v>
      </c>
      <c r="B67" s="3" t="s">
        <v>111</v>
      </c>
      <c r="C67" s="1">
        <v>18.38</v>
      </c>
      <c r="D67" s="4">
        <v>2</v>
      </c>
      <c r="E67" s="4">
        <v>5</v>
      </c>
      <c r="F67" s="1">
        <v>8</v>
      </c>
      <c r="G67" s="1">
        <v>55.6</v>
      </c>
      <c r="H67" s="1">
        <v>56</v>
      </c>
      <c r="I67" s="1">
        <v>-53</v>
      </c>
      <c r="J67" s="1">
        <v>-29.7</v>
      </c>
      <c r="K67" s="1">
        <v>28.57</v>
      </c>
      <c r="L67" s="1">
        <f>LOG(F67,2)</f>
        <v>3</v>
      </c>
      <c r="M67" s="1">
        <f>LOG(G67,2)</f>
        <v>5.797012977836145</v>
      </c>
      <c r="N67" s="14">
        <v>1544.01</v>
      </c>
      <c r="O67" s="1" t="s">
        <v>255</v>
      </c>
    </row>
    <row r="68" spans="1:15" s="1" customFormat="1">
      <c r="A68" s="2" t="s">
        <v>36</v>
      </c>
      <c r="B68" s="3" t="s">
        <v>37</v>
      </c>
      <c r="C68" s="1">
        <v>18.37</v>
      </c>
      <c r="D68" s="4">
        <v>2</v>
      </c>
      <c r="E68" s="4">
        <v>5</v>
      </c>
      <c r="F68" s="1">
        <v>8</v>
      </c>
      <c r="G68" s="1">
        <v>41.3</v>
      </c>
      <c r="H68" s="1">
        <v>67.5</v>
      </c>
      <c r="I68" s="1">
        <v>-58.8</v>
      </c>
      <c r="J68" s="1">
        <v>-39.700000000000003</v>
      </c>
      <c r="K68" s="1">
        <v>33.33</v>
      </c>
      <c r="L68" s="1">
        <f>LOG(F68,2)</f>
        <v>3</v>
      </c>
      <c r="M68" s="1">
        <f>LOG(G68,2)</f>
        <v>5.3680698765320827</v>
      </c>
      <c r="N68" s="12">
        <v>1524.02</v>
      </c>
      <c r="O68" s="1" t="s">
        <v>254</v>
      </c>
    </row>
    <row r="69" spans="1:15" s="1" customFormat="1">
      <c r="A69" s="2" t="s">
        <v>175</v>
      </c>
      <c r="B69" s="3" t="s">
        <v>176</v>
      </c>
      <c r="C69" s="1">
        <v>18.350000000000001</v>
      </c>
      <c r="D69" s="4">
        <v>1</v>
      </c>
      <c r="E69" s="4">
        <v>5</v>
      </c>
      <c r="F69" s="1">
        <v>8</v>
      </c>
      <c r="G69" s="1">
        <v>20.2</v>
      </c>
      <c r="H69" s="1">
        <v>39.299999999999997</v>
      </c>
      <c r="I69" s="1">
        <v>-49.4</v>
      </c>
      <c r="J69" s="1">
        <v>-19.399999999999999</v>
      </c>
      <c r="K69" s="1">
        <v>28.57</v>
      </c>
      <c r="L69" s="1">
        <f>LOG(F69,2)</f>
        <v>3</v>
      </c>
      <c r="M69" s="1">
        <f>LOG(G69,2)</f>
        <v>4.3362833878644329</v>
      </c>
      <c r="N69" s="14">
        <v>1574.08</v>
      </c>
      <c r="O69" s="1" t="s">
        <v>255</v>
      </c>
    </row>
    <row r="70" spans="1:15" s="1" customFormat="1">
      <c r="A70" s="2" t="s">
        <v>146</v>
      </c>
      <c r="B70" s="3" t="s">
        <v>147</v>
      </c>
      <c r="C70" s="1">
        <v>18.350000000000001</v>
      </c>
      <c r="D70" s="4">
        <v>2</v>
      </c>
      <c r="E70" s="4">
        <v>5</v>
      </c>
      <c r="F70" s="1">
        <v>8</v>
      </c>
      <c r="G70" s="1">
        <v>44.2</v>
      </c>
      <c r="H70" s="1">
        <v>65.3</v>
      </c>
      <c r="I70" s="1">
        <v>-49.5</v>
      </c>
      <c r="J70" s="1">
        <v>-32.299999999999997</v>
      </c>
      <c r="K70" s="1">
        <v>28.57</v>
      </c>
      <c r="L70" s="1">
        <f>LOG(F70,2)</f>
        <v>3</v>
      </c>
      <c r="M70" s="1">
        <f>LOG(G70,2)</f>
        <v>5.4659744645040691</v>
      </c>
      <c r="N70" s="14">
        <v>1544.01</v>
      </c>
      <c r="O70" s="1" t="s">
        <v>255</v>
      </c>
    </row>
    <row r="71" spans="1:15" s="1" customFormat="1">
      <c r="A71" s="2" t="s">
        <v>84</v>
      </c>
      <c r="B71" s="3" t="s">
        <v>80</v>
      </c>
      <c r="C71" s="1">
        <v>18.329999999999998</v>
      </c>
      <c r="D71" s="4">
        <v>2</v>
      </c>
      <c r="E71" s="4">
        <v>5</v>
      </c>
      <c r="F71" s="1">
        <v>8</v>
      </c>
      <c r="G71" s="1">
        <v>28.6</v>
      </c>
      <c r="H71" s="1">
        <v>69.900000000000006</v>
      </c>
      <c r="I71" s="1">
        <v>-50</v>
      </c>
      <c r="J71" s="1">
        <v>-35</v>
      </c>
      <c r="K71" s="1">
        <v>28.57</v>
      </c>
      <c r="L71" s="1">
        <f>LOG(F71,2)</f>
        <v>3</v>
      </c>
      <c r="M71" s="1">
        <f>LOG(G71,2)</f>
        <v>4.8379432418910273</v>
      </c>
      <c r="N71" s="14">
        <v>1515.9559999999999</v>
      </c>
      <c r="O71" s="1" t="s">
        <v>255</v>
      </c>
    </row>
    <row r="72" spans="1:15" s="1" customFormat="1">
      <c r="A72" s="2" t="s">
        <v>204</v>
      </c>
      <c r="B72" s="3" t="s">
        <v>205</v>
      </c>
      <c r="C72" s="1">
        <v>18.3</v>
      </c>
      <c r="D72" s="4">
        <v>0</v>
      </c>
      <c r="E72" s="4">
        <v>5</v>
      </c>
      <c r="F72" s="1">
        <v>8</v>
      </c>
      <c r="G72" s="1">
        <v>8.9</v>
      </c>
      <c r="H72" s="1">
        <v>65.099999999999994</v>
      </c>
      <c r="I72" s="1">
        <v>-37.5</v>
      </c>
      <c r="J72" s="1">
        <v>-24.4</v>
      </c>
      <c r="K72" s="1">
        <v>28.57</v>
      </c>
      <c r="L72" s="1">
        <f>LOG(F72,2)</f>
        <v>3</v>
      </c>
      <c r="M72" s="1">
        <f>LOG(G72,2)</f>
        <v>3.1538053360790355</v>
      </c>
      <c r="N72" s="14">
        <v>1560.097</v>
      </c>
      <c r="O72" s="1" t="s">
        <v>255</v>
      </c>
    </row>
    <row r="73" spans="1:15" s="1" customFormat="1">
      <c r="A73" s="2" t="s">
        <v>227</v>
      </c>
      <c r="B73" s="3" t="s">
        <v>228</v>
      </c>
      <c r="C73" s="1">
        <v>18.28</v>
      </c>
      <c r="D73" s="4">
        <v>2</v>
      </c>
      <c r="E73" s="4">
        <v>5</v>
      </c>
      <c r="F73" s="1">
        <v>8</v>
      </c>
      <c r="G73" s="1">
        <v>4.0999999999999996</v>
      </c>
      <c r="H73" s="1">
        <v>21.1</v>
      </c>
      <c r="I73" s="1">
        <v>-21.9</v>
      </c>
      <c r="J73" s="1">
        <v>-11.9</v>
      </c>
      <c r="K73" s="1">
        <v>50</v>
      </c>
      <c r="L73" s="1">
        <f>LOG(F73,2)</f>
        <v>3</v>
      </c>
      <c r="M73" s="1">
        <f>LOG(G73,2)</f>
        <v>2.0356239097307212</v>
      </c>
      <c r="N73" s="13">
        <v>1612.173</v>
      </c>
      <c r="O73" s="1" t="s">
        <v>255</v>
      </c>
    </row>
    <row r="74" spans="1:15" s="1" customFormat="1">
      <c r="A74" s="2" t="s">
        <v>12</v>
      </c>
      <c r="B74" s="3" t="s">
        <v>13</v>
      </c>
      <c r="C74" s="1">
        <v>18.260000000000002</v>
      </c>
      <c r="D74" s="4">
        <v>2</v>
      </c>
      <c r="E74" s="4">
        <v>5</v>
      </c>
      <c r="F74" s="1">
        <v>16</v>
      </c>
      <c r="G74" s="1">
        <v>58.6</v>
      </c>
      <c r="H74" s="1">
        <v>52.9</v>
      </c>
      <c r="I74" s="1">
        <v>-49.9</v>
      </c>
      <c r="J74" s="1">
        <v>-26.4</v>
      </c>
      <c r="K74" s="1">
        <v>25</v>
      </c>
      <c r="L74" s="1">
        <f>LOG(F74,2)</f>
        <v>4</v>
      </c>
      <c r="M74" s="1">
        <f>LOG(G74,2)</f>
        <v>5.8728287595348858</v>
      </c>
      <c r="N74" s="12">
        <v>1544.01</v>
      </c>
      <c r="O74" s="1" t="s">
        <v>255</v>
      </c>
    </row>
    <row r="75" spans="1:15" s="1" customFormat="1">
      <c r="A75" s="2" t="s">
        <v>62</v>
      </c>
      <c r="B75" s="3" t="s">
        <v>38</v>
      </c>
      <c r="C75" s="1">
        <v>18.260000000000002</v>
      </c>
      <c r="D75" s="4">
        <v>2</v>
      </c>
      <c r="E75" s="4">
        <v>5</v>
      </c>
      <c r="F75" s="1">
        <v>8</v>
      </c>
      <c r="G75" s="1">
        <v>11.9</v>
      </c>
      <c r="H75" s="1">
        <v>61.7</v>
      </c>
      <c r="I75" s="1">
        <v>-49.3</v>
      </c>
      <c r="J75" s="1">
        <v>-30.4</v>
      </c>
      <c r="K75" s="1">
        <v>33.33</v>
      </c>
      <c r="L75" s="1">
        <f>LOG(F75,2)</f>
        <v>3</v>
      </c>
      <c r="M75" s="1">
        <f>LOG(G75,2)</f>
        <v>3.5728896684205815</v>
      </c>
      <c r="N75" s="14">
        <v>1538.047</v>
      </c>
      <c r="O75" s="1" t="s">
        <v>255</v>
      </c>
    </row>
    <row r="76" spans="1:15" s="1" customFormat="1">
      <c r="A76" s="2" t="s">
        <v>167</v>
      </c>
      <c r="B76" s="3" t="s">
        <v>168</v>
      </c>
      <c r="C76" s="1">
        <v>18.260000000000002</v>
      </c>
      <c r="D76" s="4">
        <v>1</v>
      </c>
      <c r="E76" s="4">
        <v>5</v>
      </c>
      <c r="F76" s="1">
        <v>16</v>
      </c>
      <c r="G76" s="1">
        <v>31.1</v>
      </c>
      <c r="H76" s="1">
        <v>52.2</v>
      </c>
      <c r="I76" s="1">
        <v>-55.2</v>
      </c>
      <c r="J76" s="1">
        <v>-28.8</v>
      </c>
      <c r="K76" s="1">
        <v>28.57</v>
      </c>
      <c r="L76" s="1">
        <f>LOG(F76,2)</f>
        <v>4</v>
      </c>
      <c r="M76" s="1">
        <f>LOG(G76,2)</f>
        <v>4.9588426752432406</v>
      </c>
      <c r="N76" s="14">
        <v>1531.999</v>
      </c>
      <c r="O76" s="1" t="s">
        <v>255</v>
      </c>
    </row>
    <row r="77" spans="1:15" s="1" customFormat="1">
      <c r="A77" s="2" t="s">
        <v>161</v>
      </c>
      <c r="B77" s="3" t="s">
        <v>80</v>
      </c>
      <c r="C77" s="1">
        <v>18.260000000000002</v>
      </c>
      <c r="D77" s="4">
        <v>2</v>
      </c>
      <c r="E77" s="4">
        <v>5</v>
      </c>
      <c r="F77" s="1">
        <v>8</v>
      </c>
      <c r="G77" s="1">
        <v>14.8</v>
      </c>
      <c r="H77" s="1">
        <v>81.599999999999994</v>
      </c>
      <c r="I77" s="1">
        <v>-38.5</v>
      </c>
      <c r="J77" s="1">
        <v>-31.4</v>
      </c>
      <c r="K77" s="1">
        <v>28.57</v>
      </c>
      <c r="L77" s="1">
        <f>LOG(F77,2)</f>
        <v>3</v>
      </c>
      <c r="M77" s="1">
        <f>LOG(G77,2)</f>
        <v>3.8875252707415875</v>
      </c>
      <c r="N77" s="14">
        <v>1513.9839999999999</v>
      </c>
      <c r="O77" s="1" t="s">
        <v>255</v>
      </c>
    </row>
    <row r="78" spans="1:15" s="1" customFormat="1">
      <c r="A78" s="2" t="s">
        <v>60</v>
      </c>
      <c r="B78" s="3" t="s">
        <v>38</v>
      </c>
      <c r="C78" s="1">
        <v>18.21</v>
      </c>
      <c r="D78" s="4">
        <v>2</v>
      </c>
      <c r="E78" s="4">
        <v>5</v>
      </c>
      <c r="F78" s="1">
        <v>8</v>
      </c>
      <c r="G78" s="1">
        <v>20.399999999999999</v>
      </c>
      <c r="H78" s="1">
        <v>65.599999999999994</v>
      </c>
      <c r="I78" s="1">
        <v>-47.7</v>
      </c>
      <c r="J78" s="1">
        <v>-31.3</v>
      </c>
      <c r="K78" s="1">
        <v>33.33</v>
      </c>
      <c r="L78" s="1">
        <f>LOG(F78,2)</f>
        <v>3</v>
      </c>
      <c r="M78" s="1">
        <f>LOG(G78,2)</f>
        <v>4.3504972470841334</v>
      </c>
      <c r="N78" s="14">
        <v>1538.047</v>
      </c>
      <c r="O78" s="1" t="s">
        <v>255</v>
      </c>
    </row>
    <row r="79" spans="1:15" s="1" customFormat="1">
      <c r="A79" s="2" t="s">
        <v>68</v>
      </c>
      <c r="B79" s="3" t="s">
        <v>38</v>
      </c>
      <c r="C79" s="1">
        <v>18.2</v>
      </c>
      <c r="D79" s="4">
        <v>2</v>
      </c>
      <c r="E79" s="4">
        <v>5</v>
      </c>
      <c r="F79" s="1">
        <v>16</v>
      </c>
      <c r="G79" s="1">
        <v>18.3</v>
      </c>
      <c r="H79" s="1">
        <v>80.7</v>
      </c>
      <c r="I79" s="1">
        <v>-41.1</v>
      </c>
      <c r="J79" s="1">
        <v>-33.200000000000003</v>
      </c>
      <c r="K79" s="1">
        <v>33.33</v>
      </c>
      <c r="L79" s="1">
        <f>LOG(F79,2)</f>
        <v>4</v>
      </c>
      <c r="M79" s="1">
        <f>LOG(G79,2)</f>
        <v>4.1937717433966801</v>
      </c>
      <c r="N79" s="14">
        <v>1568.0730000000001</v>
      </c>
      <c r="O79" s="1" t="s">
        <v>255</v>
      </c>
    </row>
    <row r="80" spans="1:15" s="1" customFormat="1">
      <c r="A80" s="2" t="s">
        <v>229</v>
      </c>
      <c r="B80" s="3" t="s">
        <v>230</v>
      </c>
      <c r="C80" s="1">
        <v>18.12</v>
      </c>
      <c r="D80" s="4">
        <v>2</v>
      </c>
      <c r="E80" s="4">
        <v>5</v>
      </c>
      <c r="F80" s="1">
        <v>16</v>
      </c>
      <c r="G80" s="1">
        <v>76.400000000000006</v>
      </c>
      <c r="H80" s="1">
        <v>18.8</v>
      </c>
      <c r="I80" s="1">
        <v>-18</v>
      </c>
      <c r="J80" s="1">
        <v>-10.6</v>
      </c>
      <c r="K80" s="1">
        <v>42.86</v>
      </c>
      <c r="L80" s="1">
        <f>LOG(F80,2)</f>
        <v>4</v>
      </c>
      <c r="M80" s="1">
        <f>LOG(G80,2)</f>
        <v>6.2555007331483869</v>
      </c>
      <c r="N80" s="13">
        <v>1598.146</v>
      </c>
      <c r="O80" s="1" t="s">
        <v>254</v>
      </c>
    </row>
    <row r="81" spans="1:15" s="1" customFormat="1">
      <c r="A81" s="2" t="s">
        <v>105</v>
      </c>
      <c r="B81" s="3" t="s">
        <v>106</v>
      </c>
      <c r="C81" s="1">
        <v>18.09</v>
      </c>
      <c r="D81" s="4">
        <v>2</v>
      </c>
      <c r="E81" s="4">
        <v>5</v>
      </c>
      <c r="F81" s="1">
        <v>8</v>
      </c>
      <c r="G81" s="1">
        <v>18.7</v>
      </c>
      <c r="H81" s="1">
        <v>80.5</v>
      </c>
      <c r="I81" s="1">
        <v>-45.6</v>
      </c>
      <c r="J81" s="1">
        <v>-36.700000000000003</v>
      </c>
      <c r="K81" s="1">
        <v>28.57</v>
      </c>
      <c r="L81" s="1">
        <f>LOG(F81,2)</f>
        <v>3</v>
      </c>
      <c r="M81" s="1">
        <f>LOG(G81,2)</f>
        <v>4.2249663650002747</v>
      </c>
      <c r="N81" s="14">
        <v>1528.011</v>
      </c>
      <c r="O81" s="1" t="s">
        <v>255</v>
      </c>
    </row>
    <row r="82" spans="1:15" s="1" customFormat="1">
      <c r="A82" s="2" t="s">
        <v>199</v>
      </c>
      <c r="B82" s="3" t="s">
        <v>200</v>
      </c>
      <c r="C82" s="1">
        <v>18.04</v>
      </c>
      <c r="D82" s="4">
        <v>0</v>
      </c>
      <c r="E82" s="4">
        <v>5</v>
      </c>
      <c r="F82" s="1">
        <v>8</v>
      </c>
      <c r="G82" s="1">
        <v>30.9</v>
      </c>
      <c r="H82" s="1">
        <v>35</v>
      </c>
      <c r="I82" s="1">
        <v>-51.5</v>
      </c>
      <c r="J82" s="1">
        <v>-18</v>
      </c>
      <c r="K82" s="1">
        <v>28.57</v>
      </c>
      <c r="L82" s="1">
        <f>LOG(F82,2)</f>
        <v>3</v>
      </c>
      <c r="M82" s="1">
        <f>LOG(G82,2)</f>
        <v>4.949534933017012</v>
      </c>
      <c r="N82" s="14">
        <v>1576.096</v>
      </c>
      <c r="O82" s="1" t="s">
        <v>255</v>
      </c>
    </row>
    <row r="83" spans="1:15" s="1" customFormat="1">
      <c r="A83" s="2" t="s">
        <v>83</v>
      </c>
      <c r="B83" s="3" t="s">
        <v>80</v>
      </c>
      <c r="C83" s="1">
        <v>18</v>
      </c>
      <c r="D83" s="4">
        <v>2</v>
      </c>
      <c r="E83" s="4">
        <v>5</v>
      </c>
      <c r="F83" s="1">
        <v>16</v>
      </c>
      <c r="G83" s="1">
        <v>59.5</v>
      </c>
      <c r="H83" s="1">
        <v>72.2</v>
      </c>
      <c r="I83" s="1">
        <v>-45.2</v>
      </c>
      <c r="J83" s="1">
        <v>-32.700000000000003</v>
      </c>
      <c r="K83" s="1">
        <v>28.57</v>
      </c>
      <c r="L83" s="1">
        <f>LOG(F83,2)</f>
        <v>4</v>
      </c>
      <c r="M83" s="1">
        <f>LOG(G83,2)</f>
        <v>5.8948177633079437</v>
      </c>
      <c r="N83" s="14">
        <v>1515.9559999999999</v>
      </c>
      <c r="O83" s="1" t="s">
        <v>255</v>
      </c>
    </row>
    <row r="84" spans="1:15" s="1" customFormat="1">
      <c r="A84" s="2" t="s">
        <v>193</v>
      </c>
      <c r="B84" s="3" t="s">
        <v>194</v>
      </c>
      <c r="C84" s="1">
        <v>17.97</v>
      </c>
      <c r="D84" s="4">
        <v>0</v>
      </c>
      <c r="E84" s="4">
        <v>5</v>
      </c>
      <c r="F84" s="1">
        <v>8</v>
      </c>
      <c r="G84" s="1">
        <v>14.7</v>
      </c>
      <c r="H84" s="1">
        <v>52.6</v>
      </c>
      <c r="I84" s="1">
        <v>-44.2</v>
      </c>
      <c r="J84" s="1">
        <v>-23.2</v>
      </c>
      <c r="K84" s="1">
        <v>28.57</v>
      </c>
      <c r="L84" s="1">
        <f>LOG(F84,2)</f>
        <v>3</v>
      </c>
      <c r="M84" s="1">
        <f>LOG(G84,2)</f>
        <v>3.8777442499490022</v>
      </c>
      <c r="N84" s="14">
        <v>1560.097</v>
      </c>
      <c r="O84" s="1" t="s">
        <v>255</v>
      </c>
    </row>
    <row r="85" spans="1:15" s="1" customFormat="1">
      <c r="A85" s="2" t="s">
        <v>58</v>
      </c>
      <c r="B85" s="3" t="s">
        <v>59</v>
      </c>
      <c r="C85" s="1">
        <v>17.96</v>
      </c>
      <c r="D85" s="4">
        <v>2</v>
      </c>
      <c r="E85" s="4">
        <v>5</v>
      </c>
      <c r="F85" s="1">
        <v>8</v>
      </c>
      <c r="G85" s="1">
        <v>37.1</v>
      </c>
      <c r="H85" s="1">
        <v>67</v>
      </c>
      <c r="I85" s="1">
        <v>-44.9</v>
      </c>
      <c r="J85" s="1">
        <v>-30.1</v>
      </c>
      <c r="K85" s="1">
        <v>33.33</v>
      </c>
      <c r="L85" s="1">
        <f>LOG(F85,2)</f>
        <v>3</v>
      </c>
      <c r="M85" s="1">
        <f>LOG(G85,2)</f>
        <v>5.2133472817334416</v>
      </c>
      <c r="N85" s="14">
        <v>1538.047</v>
      </c>
      <c r="O85" s="1" t="s">
        <v>255</v>
      </c>
    </row>
    <row r="86" spans="1:15" s="1" customFormat="1">
      <c r="A86" s="2" t="s">
        <v>222</v>
      </c>
      <c r="B86" s="3" t="s">
        <v>223</v>
      </c>
      <c r="C86" s="1">
        <v>17.95</v>
      </c>
      <c r="D86" s="4">
        <v>0</v>
      </c>
      <c r="E86" s="4">
        <v>5</v>
      </c>
      <c r="F86" s="1">
        <v>8</v>
      </c>
      <c r="G86" s="1">
        <v>40.5</v>
      </c>
      <c r="H86" s="1">
        <v>49.6</v>
      </c>
      <c r="I86" s="1">
        <v>-53.9</v>
      </c>
      <c r="J86" s="1">
        <v>-26.7</v>
      </c>
      <c r="K86" s="1">
        <v>28.57</v>
      </c>
      <c r="L86" s="1">
        <f>LOG(F86,2)</f>
        <v>3</v>
      </c>
      <c r="M86" s="1">
        <f>LOG(G86,2)</f>
        <v>5.3398500028846243</v>
      </c>
      <c r="N86" s="14">
        <v>1562.069</v>
      </c>
      <c r="O86" s="1" t="s">
        <v>255</v>
      </c>
    </row>
    <row r="87" spans="1:15" s="1" customFormat="1">
      <c r="A87" s="2" t="s">
        <v>164</v>
      </c>
      <c r="B87" s="3" t="s">
        <v>80</v>
      </c>
      <c r="C87" s="1">
        <v>17.91</v>
      </c>
      <c r="D87" s="4">
        <v>2</v>
      </c>
      <c r="E87" s="4">
        <v>5</v>
      </c>
      <c r="F87" s="1">
        <v>16</v>
      </c>
      <c r="G87" s="1">
        <v>36.6</v>
      </c>
      <c r="H87" s="1">
        <v>76.5</v>
      </c>
      <c r="I87" s="1">
        <v>-46.8</v>
      </c>
      <c r="J87" s="1">
        <v>-35.799999999999997</v>
      </c>
      <c r="K87" s="1">
        <v>28.57</v>
      </c>
      <c r="L87" s="1">
        <f>LOG(F87,2)</f>
        <v>4</v>
      </c>
      <c r="M87" s="1">
        <f>LOG(G87,2)</f>
        <v>5.1937717433966801</v>
      </c>
      <c r="N87" s="14">
        <v>1588.0630000000001</v>
      </c>
      <c r="O87" s="1" t="s">
        <v>255</v>
      </c>
    </row>
    <row r="88" spans="1:15" s="1" customFormat="1">
      <c r="A88" s="2" t="s">
        <v>231</v>
      </c>
      <c r="B88" s="3" t="s">
        <v>232</v>
      </c>
      <c r="C88" s="1">
        <v>17.88</v>
      </c>
      <c r="D88" s="4">
        <v>0</v>
      </c>
      <c r="E88" s="4">
        <v>5</v>
      </c>
      <c r="F88" s="1">
        <v>16</v>
      </c>
      <c r="G88" s="1">
        <v>32.700000000000003</v>
      </c>
      <c r="H88" s="1">
        <v>5.7</v>
      </c>
      <c r="I88" s="1">
        <v>2.1</v>
      </c>
      <c r="J88" s="1">
        <v>-2.9</v>
      </c>
      <c r="K88" s="1">
        <v>42.86</v>
      </c>
      <c r="L88" s="1">
        <f>LOG(F88,2)</f>
        <v>4</v>
      </c>
      <c r="M88" s="1">
        <f>LOG(G88,2)</f>
        <v>5.0312187306107212</v>
      </c>
      <c r="N88" s="14">
        <v>1630.232</v>
      </c>
      <c r="O88" s="1" t="s">
        <v>254</v>
      </c>
    </row>
    <row r="89" spans="1:15" s="1" customFormat="1">
      <c r="A89" s="2" t="s">
        <v>144</v>
      </c>
      <c r="B89" s="3" t="s">
        <v>145</v>
      </c>
      <c r="C89" s="1">
        <v>17.86</v>
      </c>
      <c r="D89" s="4">
        <v>2</v>
      </c>
      <c r="E89" s="4">
        <v>5</v>
      </c>
      <c r="F89" s="1">
        <v>16</v>
      </c>
      <c r="G89" s="1">
        <v>87</v>
      </c>
      <c r="H89" s="1">
        <v>63.9</v>
      </c>
      <c r="I89" s="1">
        <v>-47.4</v>
      </c>
      <c r="J89" s="1">
        <v>-30.3</v>
      </c>
      <c r="K89" s="1">
        <v>28.57</v>
      </c>
      <c r="L89" s="1">
        <f>LOG(F89,2)</f>
        <v>4</v>
      </c>
      <c r="M89" s="1">
        <f>LOG(G89,2)</f>
        <v>6.4429434958487288</v>
      </c>
      <c r="N89" s="14">
        <v>1529.9829999999999</v>
      </c>
      <c r="O89" s="1" t="s">
        <v>255</v>
      </c>
    </row>
    <row r="90" spans="1:15" s="1" customFormat="1">
      <c r="A90" s="2" t="s">
        <v>21</v>
      </c>
      <c r="B90" s="3" t="s">
        <v>17</v>
      </c>
      <c r="C90" s="1">
        <v>17.79</v>
      </c>
      <c r="D90" s="4">
        <v>2</v>
      </c>
      <c r="E90" s="4">
        <v>5</v>
      </c>
      <c r="F90" s="1">
        <v>16</v>
      </c>
      <c r="G90" s="1">
        <v>26.5</v>
      </c>
      <c r="H90" s="1">
        <v>80.7</v>
      </c>
      <c r="I90" s="1">
        <v>-39.6</v>
      </c>
      <c r="J90" s="1">
        <v>-32</v>
      </c>
      <c r="K90" s="1">
        <v>25</v>
      </c>
      <c r="L90" s="1">
        <f>LOG(F90,2)</f>
        <v>4</v>
      </c>
      <c r="M90" s="1">
        <f>LOG(G90,2)</f>
        <v>4.7279204545631996</v>
      </c>
      <c r="N90" s="14">
        <v>1574.0360000000001</v>
      </c>
      <c r="O90" s="1" t="s">
        <v>255</v>
      </c>
    </row>
    <row r="91" spans="1:15" s="1" customFormat="1">
      <c r="A91" s="2" t="s">
        <v>10</v>
      </c>
      <c r="B91" s="3" t="s">
        <v>11</v>
      </c>
      <c r="C91" s="1">
        <v>17.760000000000002</v>
      </c>
      <c r="D91" s="4">
        <v>0</v>
      </c>
      <c r="E91" s="4">
        <v>5</v>
      </c>
      <c r="F91" s="1">
        <v>32</v>
      </c>
      <c r="G91" s="1">
        <v>108.1</v>
      </c>
      <c r="H91" s="1">
        <v>20.399999999999999</v>
      </c>
      <c r="I91" s="1">
        <v>-26.7</v>
      </c>
      <c r="J91" s="1">
        <v>-5.5</v>
      </c>
      <c r="K91" s="1">
        <v>0</v>
      </c>
      <c r="L91" s="1">
        <f>LOG(F91,2)</f>
        <v>5</v>
      </c>
      <c r="M91" s="1">
        <f>LOG(G91,2)</f>
        <v>6.7562227128472871</v>
      </c>
      <c r="N91" s="13">
        <v>1491.934</v>
      </c>
      <c r="O91" s="1" t="s">
        <v>255</v>
      </c>
    </row>
    <row r="92" spans="1:15" s="1" customFormat="1">
      <c r="A92" s="2" t="s">
        <v>239</v>
      </c>
      <c r="B92" s="3" t="s">
        <v>240</v>
      </c>
      <c r="C92" s="1">
        <v>17.75</v>
      </c>
      <c r="D92" s="4">
        <v>0</v>
      </c>
      <c r="E92" s="4">
        <v>5</v>
      </c>
      <c r="F92" s="1">
        <v>8</v>
      </c>
      <c r="G92" s="1">
        <v>4.5999999999999996</v>
      </c>
      <c r="H92" s="1">
        <v>-5</v>
      </c>
      <c r="I92" s="1">
        <v>1</v>
      </c>
      <c r="J92" s="1">
        <v>2.5</v>
      </c>
      <c r="K92" s="1">
        <v>50</v>
      </c>
      <c r="L92" s="1">
        <f>LOG(F92,2)</f>
        <v>3</v>
      </c>
      <c r="M92" s="1">
        <f>LOG(G92,2)</f>
        <v>2.2016338611696504</v>
      </c>
      <c r="N92" s="14">
        <v>1644.259</v>
      </c>
      <c r="O92" s="1" t="s">
        <v>254</v>
      </c>
    </row>
    <row r="93" spans="1:15" s="1" customFormat="1">
      <c r="A93" s="2" t="s">
        <v>188</v>
      </c>
      <c r="B93" s="3" t="s">
        <v>187</v>
      </c>
      <c r="C93" s="1">
        <v>17.73</v>
      </c>
      <c r="D93" s="4">
        <v>0</v>
      </c>
      <c r="E93" s="4">
        <v>5</v>
      </c>
      <c r="F93" s="1">
        <v>8</v>
      </c>
      <c r="G93" s="1">
        <v>7.3</v>
      </c>
      <c r="H93" s="1">
        <v>33.799999999999997</v>
      </c>
      <c r="I93" s="1">
        <v>-32</v>
      </c>
      <c r="J93" s="1">
        <v>-10.8</v>
      </c>
      <c r="K93" s="1">
        <v>28.57</v>
      </c>
      <c r="L93" s="1">
        <f>LOG(F93,2)</f>
        <v>3</v>
      </c>
      <c r="M93" s="1">
        <f>LOG(G93,2)</f>
        <v>2.867896463992655</v>
      </c>
      <c r="N93" s="14">
        <v>1574.124</v>
      </c>
      <c r="O93" s="1" t="s">
        <v>255</v>
      </c>
    </row>
    <row r="94" spans="1:15" s="1" customFormat="1">
      <c r="A94" s="2" t="s">
        <v>102</v>
      </c>
      <c r="B94" s="3" t="s">
        <v>103</v>
      </c>
      <c r="C94" s="1">
        <v>17.73</v>
      </c>
      <c r="D94" s="4">
        <v>2</v>
      </c>
      <c r="E94" s="4">
        <v>5</v>
      </c>
      <c r="F94" s="1">
        <v>8</v>
      </c>
      <c r="G94" s="1">
        <v>38.5</v>
      </c>
      <c r="H94" s="1">
        <v>75.099999999999994</v>
      </c>
      <c r="I94" s="1">
        <v>-47.4</v>
      </c>
      <c r="J94" s="1">
        <v>-35.6</v>
      </c>
      <c r="K94" s="1">
        <v>28.57</v>
      </c>
      <c r="L94" s="1">
        <f>LOG(F94,2)</f>
        <v>3</v>
      </c>
      <c r="M94" s="1">
        <f>LOG(G94,2)</f>
        <v>5.2667865406949019</v>
      </c>
      <c r="N94" s="14">
        <v>1499.9570000000001</v>
      </c>
      <c r="O94" s="1" t="s">
        <v>255</v>
      </c>
    </row>
    <row r="95" spans="1:15" s="1" customFormat="1">
      <c r="A95" s="2" t="s">
        <v>56</v>
      </c>
      <c r="B95" s="3" t="s">
        <v>57</v>
      </c>
      <c r="C95" s="1">
        <v>17.72</v>
      </c>
      <c r="D95" s="4">
        <v>2</v>
      </c>
      <c r="E95" s="4">
        <v>5</v>
      </c>
      <c r="F95" s="1">
        <v>16</v>
      </c>
      <c r="G95" s="1">
        <v>43.6</v>
      </c>
      <c r="H95" s="1">
        <v>63.7</v>
      </c>
      <c r="I95" s="1">
        <v>-52.5</v>
      </c>
      <c r="J95" s="1">
        <v>-33.4</v>
      </c>
      <c r="K95" s="1">
        <v>33.33</v>
      </c>
      <c r="L95" s="1">
        <f>LOG(F95,2)</f>
        <v>4</v>
      </c>
      <c r="M95" s="1">
        <f>LOG(G95,2)</f>
        <v>5.4462562298895643</v>
      </c>
      <c r="N95" s="14">
        <v>1524.02</v>
      </c>
      <c r="O95" s="1" t="s">
        <v>255</v>
      </c>
    </row>
    <row r="96" spans="1:15" s="1" customFormat="1">
      <c r="A96" s="2" t="s">
        <v>140</v>
      </c>
      <c r="B96" s="3" t="s">
        <v>141</v>
      </c>
      <c r="C96" s="1">
        <v>17.71</v>
      </c>
      <c r="D96" s="4">
        <v>2</v>
      </c>
      <c r="E96" s="4">
        <v>5</v>
      </c>
      <c r="F96" s="1">
        <v>16</v>
      </c>
      <c r="G96" s="1">
        <v>83.2</v>
      </c>
      <c r="H96" s="1">
        <v>63.3</v>
      </c>
      <c r="I96" s="1">
        <v>-55.5</v>
      </c>
      <c r="J96" s="1">
        <v>-35.1</v>
      </c>
      <c r="K96" s="1">
        <v>28.57</v>
      </c>
      <c r="L96" s="1">
        <f>LOG(F96,2)</f>
        <v>4</v>
      </c>
      <c r="M96" s="1">
        <f>LOG(G96,2)</f>
        <v>6.37851162325373</v>
      </c>
      <c r="N96" s="14">
        <v>1529.9829999999999</v>
      </c>
      <c r="O96" s="1" t="s">
        <v>255</v>
      </c>
    </row>
    <row r="97" spans="1:15" s="1" customFormat="1">
      <c r="A97" s="2" t="s">
        <v>125</v>
      </c>
      <c r="B97" s="3" t="s">
        <v>124</v>
      </c>
      <c r="C97" s="1">
        <v>17.670000000000002</v>
      </c>
      <c r="D97" s="4">
        <v>2</v>
      </c>
      <c r="E97" s="4">
        <v>6</v>
      </c>
      <c r="F97" s="1">
        <v>8</v>
      </c>
      <c r="G97" s="1">
        <v>26</v>
      </c>
      <c r="H97" s="1">
        <v>46.7</v>
      </c>
      <c r="I97" s="1">
        <v>-51.5</v>
      </c>
      <c r="J97" s="1">
        <v>-24</v>
      </c>
      <c r="K97" s="1">
        <v>28.57</v>
      </c>
      <c r="L97" s="1">
        <f>LOG(F97,2)</f>
        <v>3</v>
      </c>
      <c r="M97" s="1">
        <f>LOG(G97,2)</f>
        <v>4.7004397181410926</v>
      </c>
      <c r="N97" s="14">
        <v>1686.212</v>
      </c>
      <c r="O97" s="1" t="s">
        <v>255</v>
      </c>
    </row>
    <row r="98" spans="1:15" s="1" customFormat="1">
      <c r="A98" s="2" t="s">
        <v>258</v>
      </c>
      <c r="B98" s="3" t="s">
        <v>259</v>
      </c>
      <c r="C98" s="1">
        <v>17.670000000000002</v>
      </c>
      <c r="D98" s="4">
        <v>1</v>
      </c>
      <c r="E98" s="4">
        <v>5</v>
      </c>
      <c r="F98" s="1">
        <v>16</v>
      </c>
      <c r="G98" s="18">
        <v>50.5</v>
      </c>
      <c r="H98" s="1">
        <v>11.2</v>
      </c>
      <c r="I98" s="1">
        <v>-2</v>
      </c>
      <c r="J98" s="1">
        <v>-6.3</v>
      </c>
      <c r="K98" s="1">
        <v>42.86</v>
      </c>
      <c r="L98" s="1">
        <f>LOG(F98,2)</f>
        <v>4</v>
      </c>
      <c r="M98" s="1">
        <f>LOG(G98,2)</f>
        <v>5.6582114827517955</v>
      </c>
      <c r="N98" s="17">
        <v>1613.116027</v>
      </c>
      <c r="O98" s="1" t="s">
        <v>255</v>
      </c>
    </row>
    <row r="99" spans="1:15" s="1" customFormat="1">
      <c r="A99" s="2" t="s">
        <v>69</v>
      </c>
      <c r="B99" s="3" t="s">
        <v>38</v>
      </c>
      <c r="C99" s="1">
        <v>17.649999999999999</v>
      </c>
      <c r="D99" s="4">
        <v>2</v>
      </c>
      <c r="E99" s="4">
        <v>5</v>
      </c>
      <c r="F99" s="1">
        <v>16</v>
      </c>
      <c r="G99" s="1">
        <v>34.700000000000003</v>
      </c>
      <c r="H99" s="1">
        <v>67.5</v>
      </c>
      <c r="I99" s="1">
        <v>-40.9</v>
      </c>
      <c r="J99" s="1">
        <v>-27.6</v>
      </c>
      <c r="K99" s="1">
        <v>33.33</v>
      </c>
      <c r="L99" s="1">
        <f>LOG(F99,2)</f>
        <v>4</v>
      </c>
      <c r="M99" s="1">
        <f>LOG(G99,2)</f>
        <v>5.1168637576908989</v>
      </c>
      <c r="N99" s="14">
        <v>1524.02</v>
      </c>
      <c r="O99" s="1" t="s">
        <v>255</v>
      </c>
    </row>
    <row r="100" spans="1:15" s="1" customFormat="1">
      <c r="A100" s="2" t="s">
        <v>190</v>
      </c>
      <c r="B100" s="3" t="s">
        <v>191</v>
      </c>
      <c r="C100" s="1">
        <v>17.62</v>
      </c>
      <c r="D100" s="4">
        <v>0</v>
      </c>
      <c r="E100" s="4">
        <v>5</v>
      </c>
      <c r="F100" s="1">
        <v>8</v>
      </c>
      <c r="G100" s="1">
        <v>15.4</v>
      </c>
      <c r="H100" s="1">
        <v>55</v>
      </c>
      <c r="I100" s="1">
        <v>-43.7</v>
      </c>
      <c r="J100" s="1">
        <v>-24</v>
      </c>
      <c r="K100" s="1">
        <v>28.57</v>
      </c>
      <c r="L100" s="1">
        <f>LOG(F100,2)</f>
        <v>3</v>
      </c>
      <c r="M100" s="1">
        <f>LOG(G100,2)</f>
        <v>3.9448584458075393</v>
      </c>
      <c r="N100" s="14">
        <v>1532.0429999999999</v>
      </c>
      <c r="O100" s="1" t="s">
        <v>255</v>
      </c>
    </row>
    <row r="101" spans="1:15" s="1" customFormat="1">
      <c r="A101" s="2" t="s">
        <v>81</v>
      </c>
      <c r="B101" s="3" t="s">
        <v>80</v>
      </c>
      <c r="C101" s="1">
        <v>17.62</v>
      </c>
      <c r="D101" s="4">
        <v>2</v>
      </c>
      <c r="E101" s="4">
        <v>5</v>
      </c>
      <c r="F101" s="1">
        <v>16</v>
      </c>
      <c r="G101" s="1">
        <v>55.2</v>
      </c>
      <c r="H101" s="1">
        <v>65.599999999999994</v>
      </c>
      <c r="I101" s="1">
        <v>-48</v>
      </c>
      <c r="J101" s="1">
        <v>-31.4</v>
      </c>
      <c r="K101" s="1">
        <v>28.57</v>
      </c>
      <c r="L101" s="1">
        <f>LOG(F101,2)</f>
        <v>4</v>
      </c>
      <c r="M101" s="1">
        <f>LOG(G101,2)</f>
        <v>5.7865963618908074</v>
      </c>
      <c r="N101" s="14">
        <v>1515.9559999999999</v>
      </c>
      <c r="O101" s="1" t="s">
        <v>255</v>
      </c>
    </row>
    <row r="102" spans="1:15" s="1" customFormat="1">
      <c r="A102" s="2" t="s">
        <v>67</v>
      </c>
      <c r="B102" s="3" t="s">
        <v>38</v>
      </c>
      <c r="C102" s="1">
        <v>17.38</v>
      </c>
      <c r="D102" s="4">
        <v>2</v>
      </c>
      <c r="E102" s="4">
        <v>5</v>
      </c>
      <c r="F102" s="1">
        <v>16</v>
      </c>
      <c r="G102" s="1">
        <v>49.1</v>
      </c>
      <c r="H102" s="1">
        <v>69.900000000000006</v>
      </c>
      <c r="I102" s="1">
        <v>-41.7</v>
      </c>
      <c r="J102" s="1">
        <v>-29.2</v>
      </c>
      <c r="K102" s="1">
        <v>33.33</v>
      </c>
      <c r="L102" s="1">
        <f>LOG(F102,2)</f>
        <v>4</v>
      </c>
      <c r="M102" s="1">
        <f>LOG(G102,2)</f>
        <v>5.6176511194273306</v>
      </c>
      <c r="N102" s="14">
        <v>1509.9929999999999</v>
      </c>
      <c r="O102" s="1" t="s">
        <v>255</v>
      </c>
    </row>
    <row r="103" spans="1:15" s="1" customFormat="1">
      <c r="A103" s="2" t="s">
        <v>28</v>
      </c>
      <c r="B103" s="3" t="s">
        <v>29</v>
      </c>
      <c r="C103" s="1">
        <v>17.25</v>
      </c>
      <c r="D103" s="4">
        <v>0</v>
      </c>
      <c r="E103" s="4">
        <v>5</v>
      </c>
      <c r="F103" s="1">
        <v>8</v>
      </c>
      <c r="G103" s="1">
        <v>17.899999999999999</v>
      </c>
      <c r="H103" s="1">
        <v>34</v>
      </c>
      <c r="I103" s="1">
        <v>-47.1</v>
      </c>
      <c r="J103" s="1">
        <v>-16</v>
      </c>
      <c r="K103" s="1">
        <v>25</v>
      </c>
      <c r="L103" s="1">
        <f>LOG(F103,2)</f>
        <v>3</v>
      </c>
      <c r="M103" s="1">
        <f>LOG(G103,2)</f>
        <v>4.1618876823768938</v>
      </c>
      <c r="N103" s="14">
        <v>1560.097</v>
      </c>
      <c r="O103" s="1" t="s">
        <v>255</v>
      </c>
    </row>
    <row r="104" spans="1:15" s="1" customFormat="1">
      <c r="A104" s="2" t="s">
        <v>116</v>
      </c>
      <c r="B104" s="3" t="s">
        <v>115</v>
      </c>
      <c r="C104" s="1">
        <v>17.23</v>
      </c>
      <c r="D104" s="4">
        <v>2</v>
      </c>
      <c r="E104" s="4">
        <v>6</v>
      </c>
      <c r="F104" s="1">
        <v>16</v>
      </c>
      <c r="G104" s="1">
        <v>37.6</v>
      </c>
      <c r="H104" s="1">
        <v>42.7</v>
      </c>
      <c r="I104" s="1">
        <v>-51.3</v>
      </c>
      <c r="J104" s="1">
        <v>-21.9</v>
      </c>
      <c r="K104" s="1">
        <v>28.57</v>
      </c>
      <c r="L104" s="1">
        <f>LOG(F104,2)</f>
        <v>4</v>
      </c>
      <c r="M104" s="1">
        <f>LOG(G104,2)</f>
        <v>5.232660756790275</v>
      </c>
      <c r="N104" s="14">
        <v>1686.212</v>
      </c>
      <c r="O104" s="1" t="s">
        <v>255</v>
      </c>
    </row>
    <row r="105" spans="1:15" s="1" customFormat="1">
      <c r="A105" s="2" t="s">
        <v>52</v>
      </c>
      <c r="B105" s="3" t="s">
        <v>53</v>
      </c>
      <c r="C105" s="1">
        <v>17.21</v>
      </c>
      <c r="D105" s="4">
        <v>2</v>
      </c>
      <c r="E105" s="4">
        <v>5</v>
      </c>
      <c r="F105" s="1">
        <v>16</v>
      </c>
      <c r="G105" s="1">
        <v>85.3</v>
      </c>
      <c r="H105" s="1">
        <v>67.7</v>
      </c>
      <c r="I105" s="1">
        <v>-46.9</v>
      </c>
      <c r="J105" s="1">
        <v>-31.7</v>
      </c>
      <c r="K105" s="1">
        <v>33.33</v>
      </c>
      <c r="L105" s="1">
        <f>LOG(F105,2)</f>
        <v>4</v>
      </c>
      <c r="M105" s="1">
        <f>LOG(G105,2)</f>
        <v>6.4144738364309282</v>
      </c>
      <c r="N105" s="14">
        <v>1524.02</v>
      </c>
      <c r="O105" s="1" t="s">
        <v>255</v>
      </c>
    </row>
    <row r="106" spans="1:15" s="1" customFormat="1">
      <c r="A106" s="2" t="s">
        <v>78</v>
      </c>
      <c r="B106" s="3" t="s">
        <v>79</v>
      </c>
      <c r="C106" s="1">
        <v>17.18</v>
      </c>
      <c r="D106" s="4">
        <v>2</v>
      </c>
      <c r="E106" s="4">
        <v>5</v>
      </c>
      <c r="F106" s="1">
        <v>16</v>
      </c>
      <c r="G106" s="1">
        <v>151.5</v>
      </c>
      <c r="H106" s="1">
        <v>51.7</v>
      </c>
      <c r="I106" s="1">
        <v>-53.7</v>
      </c>
      <c r="J106" s="1">
        <v>-27.7</v>
      </c>
      <c r="K106" s="1">
        <v>28.57</v>
      </c>
      <c r="L106" s="1">
        <f>LOG(F106,2)</f>
        <v>4</v>
      </c>
      <c r="M106" s="1">
        <f>LOG(G106,2)</f>
        <v>7.2431739834729507</v>
      </c>
      <c r="N106" s="14">
        <v>1515.9559999999999</v>
      </c>
      <c r="O106" s="1" t="s">
        <v>254</v>
      </c>
    </row>
    <row r="107" spans="1:15" s="1" customFormat="1">
      <c r="A107" s="2" t="s">
        <v>198</v>
      </c>
      <c r="B107" s="3" t="s">
        <v>196</v>
      </c>
      <c r="C107" s="1">
        <v>17.07</v>
      </c>
      <c r="D107" s="4">
        <v>0</v>
      </c>
      <c r="E107" s="4">
        <v>5</v>
      </c>
      <c r="F107" s="1">
        <v>16</v>
      </c>
      <c r="G107" s="1">
        <v>52.4</v>
      </c>
      <c r="H107" s="1">
        <v>44.2</v>
      </c>
      <c r="I107" s="1">
        <v>-34.200000000000003</v>
      </c>
      <c r="J107" s="1">
        <v>-15.1</v>
      </c>
      <c r="K107" s="1">
        <v>28.57</v>
      </c>
      <c r="L107" s="1">
        <f>LOG(F107,2)</f>
        <v>4</v>
      </c>
      <c r="M107" s="1">
        <f>LOG(G107,2)</f>
        <v>5.7114949066500884</v>
      </c>
      <c r="N107" s="14">
        <v>1532.0429999999999</v>
      </c>
      <c r="O107" s="1" t="s">
        <v>255</v>
      </c>
    </row>
    <row r="108" spans="1:15" s="1" customFormat="1">
      <c r="A108" s="2" t="s">
        <v>179</v>
      </c>
      <c r="B108" s="3" t="s">
        <v>180</v>
      </c>
      <c r="C108" s="1">
        <v>16.97</v>
      </c>
      <c r="D108" s="4">
        <v>0</v>
      </c>
      <c r="E108" s="4">
        <v>5</v>
      </c>
      <c r="F108" s="1">
        <v>16</v>
      </c>
      <c r="G108" s="1">
        <v>63.5</v>
      </c>
      <c r="H108" s="1">
        <v>25.4</v>
      </c>
      <c r="I108" s="1">
        <v>-50.7</v>
      </c>
      <c r="J108" s="1">
        <v>-12.9</v>
      </c>
      <c r="K108" s="1">
        <v>28.57</v>
      </c>
      <c r="L108" s="1">
        <f>LOG(F108,2)</f>
        <v>4</v>
      </c>
      <c r="M108" s="1">
        <f>LOG(G108,2)</f>
        <v>5.9886846867721655</v>
      </c>
      <c r="N108" s="14">
        <v>1548.0419999999999</v>
      </c>
      <c r="O108" s="1" t="s">
        <v>254</v>
      </c>
    </row>
    <row r="109" spans="1:15" s="1" customFormat="1">
      <c r="A109" s="2" t="s">
        <v>50</v>
      </c>
      <c r="B109" s="3" t="s">
        <v>51</v>
      </c>
      <c r="C109" s="1">
        <v>16.97</v>
      </c>
      <c r="D109" s="4">
        <v>2</v>
      </c>
      <c r="E109" s="4">
        <v>5</v>
      </c>
      <c r="F109" s="1">
        <v>16</v>
      </c>
      <c r="G109" s="1">
        <v>118.5</v>
      </c>
      <c r="H109" s="1">
        <v>66.5</v>
      </c>
      <c r="I109" s="1">
        <v>-45.5</v>
      </c>
      <c r="J109" s="1">
        <v>-30.2</v>
      </c>
      <c r="K109" s="1">
        <v>33.33</v>
      </c>
      <c r="L109" s="1">
        <f>LOG(F109,2)</f>
        <v>4</v>
      </c>
      <c r="M109" s="1">
        <f>LOG(G109,2)</f>
        <v>6.8887432488982601</v>
      </c>
      <c r="N109" s="14">
        <v>1509.9929999999999</v>
      </c>
      <c r="O109" s="1" t="s">
        <v>255</v>
      </c>
    </row>
    <row r="110" spans="1:15" s="1" customFormat="1">
      <c r="A110" s="2" t="s">
        <v>65</v>
      </c>
      <c r="B110" s="3" t="s">
        <v>38</v>
      </c>
      <c r="C110" s="1">
        <v>16.91</v>
      </c>
      <c r="D110" s="4">
        <v>2</v>
      </c>
      <c r="E110" s="4">
        <v>5</v>
      </c>
      <c r="F110" s="1">
        <v>16</v>
      </c>
      <c r="G110" s="1">
        <v>50.4</v>
      </c>
      <c r="H110" s="1">
        <v>70</v>
      </c>
      <c r="I110" s="1">
        <v>-46.4</v>
      </c>
      <c r="J110" s="1">
        <v>-32.5</v>
      </c>
      <c r="K110" s="1">
        <v>33.33</v>
      </c>
      <c r="L110" s="1">
        <f>LOG(F110,2)</f>
        <v>4</v>
      </c>
      <c r="M110" s="1">
        <f>LOG(G110,2)</f>
        <v>5.6553518286125541</v>
      </c>
      <c r="N110" s="14">
        <v>1540.019</v>
      </c>
      <c r="O110" s="1" t="s">
        <v>255</v>
      </c>
    </row>
    <row r="111" spans="1:15" s="1" customFormat="1">
      <c r="A111" s="2" t="s">
        <v>113</v>
      </c>
      <c r="B111" s="3" t="s">
        <v>111</v>
      </c>
      <c r="C111" s="1">
        <v>16.899999999999999</v>
      </c>
      <c r="D111" s="4">
        <v>2</v>
      </c>
      <c r="E111" s="4">
        <v>6</v>
      </c>
      <c r="F111" s="1">
        <v>16</v>
      </c>
      <c r="G111" s="1">
        <v>65.2</v>
      </c>
      <c r="H111" s="1">
        <v>41.6</v>
      </c>
      <c r="I111" s="1">
        <v>-51.9</v>
      </c>
      <c r="J111" s="1">
        <v>-21.6</v>
      </c>
      <c r="K111" s="1">
        <v>28.57</v>
      </c>
      <c r="L111" s="1">
        <f>LOG(F111,2)</f>
        <v>4</v>
      </c>
      <c r="M111" s="1">
        <f>LOG(G111,2)</f>
        <v>6.0268000593437154</v>
      </c>
      <c r="N111" s="14">
        <v>1672.1849999999999</v>
      </c>
      <c r="O111" s="1" t="s">
        <v>255</v>
      </c>
    </row>
    <row r="112" spans="1:15" s="1" customFormat="1">
      <c r="A112" s="2" t="s">
        <v>185</v>
      </c>
      <c r="B112" s="3" t="s">
        <v>183</v>
      </c>
      <c r="C112" s="1">
        <v>16.68</v>
      </c>
      <c r="D112" s="4">
        <v>0</v>
      </c>
      <c r="E112" s="4">
        <v>5</v>
      </c>
      <c r="F112" s="1">
        <v>32</v>
      </c>
      <c r="G112" s="1">
        <v>92.5</v>
      </c>
      <c r="H112" s="1">
        <v>22.7</v>
      </c>
      <c r="I112" s="1">
        <v>-38.1</v>
      </c>
      <c r="J112" s="1">
        <v>-8.6</v>
      </c>
      <c r="K112" s="1">
        <v>28.57</v>
      </c>
      <c r="L112" s="1">
        <f>LOG(F112,2)</f>
        <v>5</v>
      </c>
      <c r="M112" s="1">
        <f>LOG(G112,2)</f>
        <v>6.5313814605163127</v>
      </c>
      <c r="N112" s="14">
        <v>1548.0419999999999</v>
      </c>
      <c r="O112" s="1" t="s">
        <v>255</v>
      </c>
    </row>
    <row r="113" spans="1:15" s="1" customFormat="1">
      <c r="A113" s="2" t="s">
        <v>201</v>
      </c>
      <c r="B113" s="3" t="s">
        <v>200</v>
      </c>
      <c r="C113" s="1">
        <v>16.649999999999999</v>
      </c>
      <c r="D113" s="4">
        <v>0</v>
      </c>
      <c r="E113" s="4">
        <v>6</v>
      </c>
      <c r="F113" s="1">
        <v>16</v>
      </c>
      <c r="G113" s="1">
        <v>35.5</v>
      </c>
      <c r="H113" s="1">
        <v>22.4</v>
      </c>
      <c r="I113" s="1">
        <v>-46.5</v>
      </c>
      <c r="J113" s="1">
        <v>-10.4</v>
      </c>
      <c r="K113" s="1">
        <v>28.57</v>
      </c>
      <c r="L113" s="1">
        <f>LOG(F113,2)</f>
        <v>4</v>
      </c>
      <c r="M113" s="1">
        <f>LOG(G113,2)</f>
        <v>5.1497471195046822</v>
      </c>
      <c r="N113" s="14">
        <v>1704.271</v>
      </c>
      <c r="O113" s="1" t="s">
        <v>255</v>
      </c>
    </row>
    <row r="114" spans="1:15" s="1" customFormat="1">
      <c r="A114" s="2" t="s">
        <v>107</v>
      </c>
      <c r="B114" s="3" t="s">
        <v>106</v>
      </c>
      <c r="C114" s="1">
        <v>16.61</v>
      </c>
      <c r="D114" s="4">
        <v>2</v>
      </c>
      <c r="E114" s="4">
        <v>6</v>
      </c>
      <c r="F114" s="1">
        <v>16</v>
      </c>
      <c r="G114" s="1">
        <v>24.5</v>
      </c>
      <c r="H114" s="1">
        <v>59.3</v>
      </c>
      <c r="I114" s="1">
        <v>-45</v>
      </c>
      <c r="J114" s="1">
        <v>-26.7</v>
      </c>
      <c r="K114" s="1">
        <v>28.57</v>
      </c>
      <c r="L114" s="1">
        <f>LOG(F114,2)</f>
        <v>4</v>
      </c>
      <c r="M114" s="1">
        <f>LOG(G114,2)</f>
        <v>4.6147098441152083</v>
      </c>
      <c r="N114" s="14">
        <v>1656.1859999999999</v>
      </c>
      <c r="O114" s="1" t="s">
        <v>255</v>
      </c>
    </row>
    <row r="115" spans="1:15" s="1" customFormat="1">
      <c r="A115" s="2" t="s">
        <v>46</v>
      </c>
      <c r="B115" s="3" t="s">
        <v>47</v>
      </c>
      <c r="C115" s="1">
        <v>16.61</v>
      </c>
      <c r="D115" s="4">
        <v>2</v>
      </c>
      <c r="E115" s="4">
        <v>5</v>
      </c>
      <c r="F115" s="1">
        <v>32</v>
      </c>
      <c r="G115" s="1">
        <v>170.1</v>
      </c>
      <c r="H115" s="1">
        <v>67.7</v>
      </c>
      <c r="I115" s="1">
        <v>-46.2</v>
      </c>
      <c r="J115" s="1">
        <v>-31.3</v>
      </c>
      <c r="K115" s="1">
        <v>33.33</v>
      </c>
      <c r="L115" s="1">
        <f>LOG(F115,2)</f>
        <v>5</v>
      </c>
      <c r="M115" s="1">
        <f>LOG(G115,2)</f>
        <v>7.4102393307760224</v>
      </c>
      <c r="N115" s="14">
        <v>1495.9659999999999</v>
      </c>
      <c r="O115" s="1" t="s">
        <v>255</v>
      </c>
    </row>
    <row r="116" spans="1:15" s="1" customFormat="1">
      <c r="A116" s="2" t="s">
        <v>224</v>
      </c>
      <c r="B116" s="3" t="s">
        <v>223</v>
      </c>
      <c r="C116" s="1">
        <v>16.59</v>
      </c>
      <c r="D116" s="4">
        <v>0</v>
      </c>
      <c r="E116" s="4">
        <v>6</v>
      </c>
      <c r="F116" s="1">
        <v>16</v>
      </c>
      <c r="G116" s="1">
        <v>52.2</v>
      </c>
      <c r="H116" s="1">
        <v>27.5</v>
      </c>
      <c r="I116" s="1">
        <v>-53.9</v>
      </c>
      <c r="J116" s="1">
        <v>-14.8</v>
      </c>
      <c r="K116" s="1">
        <v>28.57</v>
      </c>
      <c r="L116" s="1">
        <f>LOG(F116,2)</f>
        <v>4</v>
      </c>
      <c r="M116" s="1">
        <f>LOG(G116,2)</f>
        <v>5.7059779016825223</v>
      </c>
      <c r="N116" s="14">
        <v>1690.2439999999999</v>
      </c>
      <c r="O116" s="1" t="s">
        <v>255</v>
      </c>
    </row>
    <row r="117" spans="1:15" s="1" customFormat="1">
      <c r="A117" s="2" t="s">
        <v>54</v>
      </c>
      <c r="B117" s="3" t="s">
        <v>55</v>
      </c>
      <c r="C117" s="1">
        <v>16.559999999999999</v>
      </c>
      <c r="D117" s="4">
        <v>2</v>
      </c>
      <c r="E117" s="4">
        <v>5</v>
      </c>
      <c r="F117" s="1">
        <v>16</v>
      </c>
      <c r="G117" s="1">
        <v>65.400000000000006</v>
      </c>
      <c r="H117" s="1">
        <v>89.5</v>
      </c>
      <c r="I117" s="1">
        <v>-34.6</v>
      </c>
      <c r="J117" s="1">
        <v>-31</v>
      </c>
      <c r="K117" s="1">
        <v>33.33</v>
      </c>
      <c r="L117" s="1">
        <f>LOG(F117,2)</f>
        <v>4</v>
      </c>
      <c r="M117" s="1">
        <f>LOG(G117,2)</f>
        <v>6.0312187306107203</v>
      </c>
      <c r="N117" s="14">
        <v>1493.9939999999999</v>
      </c>
      <c r="O117" s="1" t="s">
        <v>255</v>
      </c>
    </row>
    <row r="118" spans="1:15" s="1" customFormat="1">
      <c r="A118" s="2" t="s">
        <v>104</v>
      </c>
      <c r="B118" s="3" t="s">
        <v>103</v>
      </c>
      <c r="C118" s="1">
        <v>16.32</v>
      </c>
      <c r="D118" s="4">
        <v>2</v>
      </c>
      <c r="E118" s="4">
        <v>6</v>
      </c>
      <c r="F118" s="1">
        <v>16</v>
      </c>
      <c r="G118" s="1">
        <v>41.1</v>
      </c>
      <c r="H118" s="1">
        <v>56</v>
      </c>
      <c r="I118" s="1">
        <v>-46.3</v>
      </c>
      <c r="J118" s="1">
        <v>-26</v>
      </c>
      <c r="K118" s="1">
        <v>28.57</v>
      </c>
      <c r="L118" s="1">
        <f>LOG(F118,2)</f>
        <v>4</v>
      </c>
      <c r="M118" s="1">
        <f>LOG(G118,2)</f>
        <v>5.3610664887943207</v>
      </c>
      <c r="N118" s="15">
        <v>1628.1320000000001</v>
      </c>
      <c r="O118" s="1" t="s">
        <v>255</v>
      </c>
    </row>
    <row r="119" spans="1:15" s="1" customFormat="1">
      <c r="A119" s="2" t="s">
        <v>192</v>
      </c>
      <c r="B119" s="3" t="s">
        <v>191</v>
      </c>
      <c r="C119" s="1">
        <v>16.3</v>
      </c>
      <c r="D119" s="4">
        <v>0</v>
      </c>
      <c r="E119" s="4">
        <v>6</v>
      </c>
      <c r="F119" s="1">
        <v>16</v>
      </c>
      <c r="G119" s="1">
        <v>26.7</v>
      </c>
      <c r="H119" s="1">
        <v>32.9</v>
      </c>
      <c r="I119" s="1">
        <v>-40.299999999999997</v>
      </c>
      <c r="J119" s="1">
        <v>-13.2</v>
      </c>
      <c r="K119" s="1">
        <v>28.57</v>
      </c>
      <c r="L119" s="1">
        <f>LOG(F119,2)</f>
        <v>4</v>
      </c>
      <c r="M119" s="1">
        <f>LOG(G119,2)</f>
        <v>4.738767836800192</v>
      </c>
      <c r="N119" s="14">
        <v>1660.2180000000001</v>
      </c>
      <c r="O119" s="1" t="s">
        <v>255</v>
      </c>
    </row>
    <row r="120" spans="1:15" s="1" customFormat="1">
      <c r="A120" s="2" t="s">
        <v>143</v>
      </c>
      <c r="B120" s="3" t="s">
        <v>141</v>
      </c>
      <c r="C120" s="1">
        <v>16.3</v>
      </c>
      <c r="D120" s="4">
        <v>2</v>
      </c>
      <c r="E120" s="4">
        <v>6</v>
      </c>
      <c r="F120" s="1">
        <v>32</v>
      </c>
      <c r="G120" s="1">
        <v>109.3</v>
      </c>
      <c r="H120" s="1">
        <v>43.7</v>
      </c>
      <c r="I120" s="1">
        <v>-55</v>
      </c>
      <c r="J120" s="1">
        <v>-24.1</v>
      </c>
      <c r="K120" s="1">
        <v>28.57</v>
      </c>
      <c r="L120" s="1">
        <f>LOG(F120,2)</f>
        <v>5</v>
      </c>
      <c r="M120" s="1">
        <f>LOG(G120,2)</f>
        <v>6.7721495907845428</v>
      </c>
      <c r="N120" s="14">
        <v>1658.1579999999999</v>
      </c>
      <c r="O120" s="1" t="s">
        <v>255</v>
      </c>
    </row>
    <row r="121" spans="1:15" s="1" customFormat="1">
      <c r="A121" s="2" t="s">
        <v>34</v>
      </c>
      <c r="B121" s="3" t="s">
        <v>35</v>
      </c>
      <c r="C121" s="1">
        <v>16.28</v>
      </c>
      <c r="D121" s="4">
        <v>2</v>
      </c>
      <c r="E121" s="4">
        <v>5</v>
      </c>
      <c r="F121" s="1">
        <v>32</v>
      </c>
      <c r="G121" s="1">
        <v>212</v>
      </c>
      <c r="H121" s="1">
        <v>55.7</v>
      </c>
      <c r="I121" s="1">
        <v>-57.1</v>
      </c>
      <c r="J121" s="1">
        <v>-31.8</v>
      </c>
      <c r="K121" s="1">
        <v>33.33</v>
      </c>
      <c r="L121" s="1">
        <f>LOG(F121,2)</f>
        <v>5</v>
      </c>
      <c r="M121" s="1">
        <f>LOG(G121,2)</f>
        <v>7.7279204545631996</v>
      </c>
      <c r="N121" s="12">
        <v>1481.9390000000001</v>
      </c>
      <c r="O121" s="1" t="s">
        <v>254</v>
      </c>
    </row>
    <row r="122" spans="1:15" s="1" customFormat="1">
      <c r="A122" s="2" t="s">
        <v>20</v>
      </c>
      <c r="B122" s="3" t="s">
        <v>17</v>
      </c>
      <c r="C122" s="1">
        <v>16.25</v>
      </c>
      <c r="D122" s="4">
        <v>2</v>
      </c>
      <c r="E122" s="4">
        <v>6</v>
      </c>
      <c r="F122" s="1">
        <v>16</v>
      </c>
      <c r="G122" s="1">
        <v>27.1</v>
      </c>
      <c r="H122" s="1">
        <v>63.9</v>
      </c>
      <c r="I122" s="1">
        <v>-50.7</v>
      </c>
      <c r="J122" s="1">
        <v>-32.4</v>
      </c>
      <c r="K122" s="1">
        <v>25</v>
      </c>
      <c r="L122" s="1">
        <f>LOG(F122,2)</f>
        <v>4</v>
      </c>
      <c r="M122" s="1">
        <f>LOG(G122,2)</f>
        <v>4.7602209464665091</v>
      </c>
      <c r="N122" s="16">
        <v>1629.16</v>
      </c>
      <c r="O122" s="1" t="s">
        <v>255</v>
      </c>
    </row>
    <row r="123" spans="1:15" s="1" customFormat="1">
      <c r="A123" s="2" t="s">
        <v>48</v>
      </c>
      <c r="B123" s="3" t="s">
        <v>49</v>
      </c>
      <c r="C123" s="1">
        <v>16.13</v>
      </c>
      <c r="D123" s="4">
        <v>2</v>
      </c>
      <c r="E123" s="4">
        <v>5</v>
      </c>
      <c r="F123" s="1">
        <v>32</v>
      </c>
      <c r="G123" s="1">
        <v>144.69999999999999</v>
      </c>
      <c r="H123" s="1">
        <v>81.3</v>
      </c>
      <c r="I123" s="1">
        <v>-36.9</v>
      </c>
      <c r="J123" s="1">
        <v>-30</v>
      </c>
      <c r="K123" s="1">
        <v>33.33</v>
      </c>
      <c r="L123" s="1">
        <f>LOG(F123,2)</f>
        <v>5</v>
      </c>
      <c r="M123" s="1">
        <f>LOG(G123,2)</f>
        <v>7.1769211116443623</v>
      </c>
      <c r="N123" s="14">
        <v>1465.94</v>
      </c>
      <c r="O123" s="1" t="s">
        <v>255</v>
      </c>
    </row>
    <row r="124" spans="1:15" s="1" customFormat="1">
      <c r="A124" s="2" t="s">
        <v>197</v>
      </c>
      <c r="B124" s="3" t="s">
        <v>196</v>
      </c>
      <c r="C124" s="1">
        <v>16.11</v>
      </c>
      <c r="D124" s="4">
        <v>0</v>
      </c>
      <c r="E124" s="4">
        <v>5</v>
      </c>
      <c r="F124" s="1">
        <v>16</v>
      </c>
      <c r="G124" s="1">
        <v>71.8</v>
      </c>
      <c r="H124" s="1">
        <v>26.6</v>
      </c>
      <c r="I124" s="1">
        <v>-31.8</v>
      </c>
      <c r="J124" s="1">
        <v>-8.5</v>
      </c>
      <c r="K124" s="1">
        <v>28.57</v>
      </c>
      <c r="L124" s="1">
        <f>LOG(F124,2)</f>
        <v>4</v>
      </c>
      <c r="M124" s="1">
        <f>LOG(G124,2)</f>
        <v>6.1659119389356887</v>
      </c>
      <c r="N124" s="14">
        <v>1532.0429999999999</v>
      </c>
      <c r="O124" s="1" t="s">
        <v>255</v>
      </c>
    </row>
    <row r="125" spans="1:15" s="1" customFormat="1">
      <c r="A125" s="2" t="s">
        <v>149</v>
      </c>
      <c r="B125" s="3" t="s">
        <v>80</v>
      </c>
      <c r="C125" s="1">
        <v>16.100000000000001</v>
      </c>
      <c r="D125" s="4">
        <v>2</v>
      </c>
      <c r="E125" s="4">
        <v>6</v>
      </c>
      <c r="F125" s="1">
        <v>16</v>
      </c>
      <c r="G125" s="1">
        <v>67.400000000000006</v>
      </c>
      <c r="H125" s="1">
        <v>56.9</v>
      </c>
      <c r="I125" s="1">
        <v>-48.1</v>
      </c>
      <c r="J125" s="1">
        <v>-27.4</v>
      </c>
      <c r="K125" s="1">
        <v>28.57</v>
      </c>
      <c r="L125" s="1">
        <f>LOG(F125,2)</f>
        <v>4</v>
      </c>
      <c r="M125" s="1">
        <f>LOG(G125,2)</f>
        <v>6.0746766862944961</v>
      </c>
      <c r="N125" s="14">
        <v>1615.133</v>
      </c>
      <c r="O125" s="1" t="s">
        <v>255</v>
      </c>
    </row>
    <row r="126" spans="1:15" s="1" customFormat="1">
      <c r="A126" s="2" t="s">
        <v>173</v>
      </c>
      <c r="B126" s="3" t="s">
        <v>174</v>
      </c>
      <c r="C126" s="1">
        <v>16.100000000000001</v>
      </c>
      <c r="D126" s="4">
        <v>1</v>
      </c>
      <c r="E126" s="4">
        <v>5</v>
      </c>
      <c r="F126" s="1">
        <v>32</v>
      </c>
      <c r="G126" s="1">
        <v>199.3</v>
      </c>
      <c r="H126" s="1">
        <v>27.6</v>
      </c>
      <c r="I126" s="1">
        <v>-48.6</v>
      </c>
      <c r="J126" s="1">
        <v>-13.4</v>
      </c>
      <c r="K126" s="1">
        <v>28.57</v>
      </c>
      <c r="L126" s="1">
        <f>LOG(F126,2)</f>
        <v>5</v>
      </c>
      <c r="M126" s="1">
        <f>LOG(G126,2)</f>
        <v>7.6387978999516957</v>
      </c>
      <c r="N126" s="14">
        <v>1531.999</v>
      </c>
      <c r="O126" s="1" t="s">
        <v>255</v>
      </c>
    </row>
    <row r="127" spans="1:15" s="1" customFormat="1">
      <c r="A127" s="2" t="s">
        <v>112</v>
      </c>
      <c r="B127" s="3" t="s">
        <v>111</v>
      </c>
      <c r="C127" s="1">
        <v>16.07</v>
      </c>
      <c r="D127" s="4">
        <v>2</v>
      </c>
      <c r="E127" s="4">
        <v>6</v>
      </c>
      <c r="F127" s="1">
        <v>16</v>
      </c>
      <c r="G127" s="1">
        <v>79.900000000000006</v>
      </c>
      <c r="H127" s="1">
        <v>53.1</v>
      </c>
      <c r="I127" s="1">
        <v>-40.6</v>
      </c>
      <c r="J127" s="1">
        <v>-21.5</v>
      </c>
      <c r="K127" s="1">
        <v>28.57</v>
      </c>
      <c r="L127" s="1">
        <f>LOG(F127,2)</f>
        <v>4</v>
      </c>
      <c r="M127" s="1">
        <f>LOG(G127,2)</f>
        <v>6.3201235980406141</v>
      </c>
      <c r="N127" s="14">
        <v>1615.133</v>
      </c>
      <c r="O127" s="1" t="s">
        <v>255</v>
      </c>
    </row>
    <row r="128" spans="1:15" s="1" customFormat="1">
      <c r="A128" s="2" t="s">
        <v>237</v>
      </c>
      <c r="B128" s="3" t="s">
        <v>238</v>
      </c>
      <c r="C128" s="1">
        <v>15.99</v>
      </c>
      <c r="D128" s="4">
        <v>0</v>
      </c>
      <c r="E128" s="4">
        <v>5</v>
      </c>
      <c r="F128" s="1">
        <v>32</v>
      </c>
      <c r="G128" s="1">
        <v>86.2</v>
      </c>
      <c r="H128" s="1">
        <v>-4.7</v>
      </c>
      <c r="I128" s="1">
        <v>-4.7</v>
      </c>
      <c r="J128" s="1">
        <v>2.4</v>
      </c>
      <c r="K128" s="1">
        <v>50</v>
      </c>
      <c r="L128" s="1">
        <f>LOG(F128,2)</f>
        <v>5</v>
      </c>
      <c r="M128" s="1">
        <f>LOG(G128,2)</f>
        <v>6.4296159642017363</v>
      </c>
      <c r="N128" s="14">
        <v>1618.1769999999999</v>
      </c>
      <c r="O128" s="1" t="s">
        <v>254</v>
      </c>
    </row>
    <row r="129" spans="1:15" s="1" customFormat="1">
      <c r="A129" s="2" t="s">
        <v>184</v>
      </c>
      <c r="B129" s="3" t="s">
        <v>183</v>
      </c>
      <c r="C129" s="1">
        <v>15.97</v>
      </c>
      <c r="D129" s="4">
        <v>0</v>
      </c>
      <c r="E129" s="4">
        <v>5</v>
      </c>
      <c r="F129" s="1">
        <v>32</v>
      </c>
      <c r="G129" s="1">
        <v>176.5</v>
      </c>
      <c r="H129" s="1">
        <v>15.2</v>
      </c>
      <c r="I129" s="1">
        <v>-37.799999999999997</v>
      </c>
      <c r="J129" s="1">
        <v>-5.8</v>
      </c>
      <c r="K129" s="1">
        <v>28.57</v>
      </c>
      <c r="L129" s="1">
        <f>LOG(F129,2)</f>
        <v>5</v>
      </c>
      <c r="M129" s="1">
        <f>LOG(G129,2)</f>
        <v>7.4635243732711798</v>
      </c>
      <c r="N129" s="14">
        <v>1548.0419999999999</v>
      </c>
      <c r="O129" s="1" t="s">
        <v>255</v>
      </c>
    </row>
    <row r="130" spans="1:15" s="1" customFormat="1">
      <c r="A130" s="2" t="s">
        <v>85</v>
      </c>
      <c r="B130" s="3" t="s">
        <v>79</v>
      </c>
      <c r="C130" s="1">
        <v>15.88</v>
      </c>
      <c r="D130" s="4">
        <v>2</v>
      </c>
      <c r="E130" s="4">
        <v>6</v>
      </c>
      <c r="F130" s="1">
        <v>32</v>
      </c>
      <c r="G130" s="1">
        <v>147.30000000000001</v>
      </c>
      <c r="H130" s="1">
        <v>43.4</v>
      </c>
      <c r="I130" s="1">
        <v>-53.2</v>
      </c>
      <c r="J130" s="1">
        <v>-23.1</v>
      </c>
      <c r="K130" s="1">
        <v>28.57</v>
      </c>
      <c r="L130" s="1">
        <f>LOG(F130,2)</f>
        <v>5</v>
      </c>
      <c r="M130" s="1">
        <f>LOG(G130,2)</f>
        <v>7.2026136201484867</v>
      </c>
      <c r="N130" s="14">
        <v>1644.1310000000001</v>
      </c>
      <c r="O130" s="1" t="s">
        <v>255</v>
      </c>
    </row>
    <row r="131" spans="1:15" s="1" customFormat="1">
      <c r="A131" s="2" t="s">
        <v>181</v>
      </c>
      <c r="B131" s="3" t="s">
        <v>180</v>
      </c>
      <c r="C131" s="1">
        <v>15.8</v>
      </c>
      <c r="D131" s="4">
        <v>0</v>
      </c>
      <c r="E131" s="4">
        <v>6</v>
      </c>
      <c r="F131" s="1">
        <v>32</v>
      </c>
      <c r="G131" s="1">
        <v>98.4</v>
      </c>
      <c r="H131" s="1">
        <v>24</v>
      </c>
      <c r="I131" s="1">
        <v>-47.2</v>
      </c>
      <c r="J131" s="1">
        <v>-11.3</v>
      </c>
      <c r="K131" s="1">
        <v>28.57</v>
      </c>
      <c r="L131" s="1">
        <f>LOG(F131,2)</f>
        <v>5</v>
      </c>
      <c r="M131" s="1">
        <f>LOG(G131,2)</f>
        <v>6.6205864104518772</v>
      </c>
      <c r="N131" s="14">
        <v>1676.2170000000001</v>
      </c>
      <c r="O131" s="1" t="s">
        <v>255</v>
      </c>
    </row>
    <row r="132" spans="1:15" s="1" customFormat="1">
      <c r="A132" s="2" t="s">
        <v>142</v>
      </c>
      <c r="B132" s="3" t="s">
        <v>141</v>
      </c>
      <c r="C132" s="1">
        <v>15.57</v>
      </c>
      <c r="D132" s="4">
        <v>2</v>
      </c>
      <c r="E132" s="4">
        <v>6</v>
      </c>
      <c r="F132" s="1">
        <v>16</v>
      </c>
      <c r="G132" s="1">
        <v>115.3</v>
      </c>
      <c r="H132" s="1">
        <v>52.3</v>
      </c>
      <c r="I132" s="1">
        <v>-43.9</v>
      </c>
      <c r="J132" s="1">
        <v>-22.9</v>
      </c>
      <c r="K132" s="1">
        <v>28.57</v>
      </c>
      <c r="L132" s="1">
        <f>LOG(F132,2)</f>
        <v>4</v>
      </c>
      <c r="M132" s="1">
        <f>LOG(G132,2)</f>
        <v>6.8492487027644096</v>
      </c>
      <c r="N132" s="14">
        <v>1601.106</v>
      </c>
      <c r="O132" s="1" t="s">
        <v>255</v>
      </c>
    </row>
    <row r="133" spans="1:15" s="1" customFormat="1">
      <c r="A133" s="2" t="s">
        <v>155</v>
      </c>
      <c r="B133" s="3" t="s">
        <v>156</v>
      </c>
      <c r="C133" s="1">
        <v>15.5</v>
      </c>
      <c r="D133" s="4">
        <v>2</v>
      </c>
      <c r="E133" s="4">
        <v>5</v>
      </c>
      <c r="F133" s="1">
        <v>16</v>
      </c>
      <c r="G133" s="1">
        <v>170.3</v>
      </c>
      <c r="H133" s="1">
        <v>66</v>
      </c>
      <c r="I133" s="1">
        <v>-46.3</v>
      </c>
      <c r="J133" s="1">
        <v>-30.5</v>
      </c>
      <c r="K133" s="1">
        <v>28.57</v>
      </c>
      <c r="L133" s="1">
        <f>LOG(F133,2)</f>
        <v>4</v>
      </c>
      <c r="M133" s="1">
        <f>LOG(G133,2)</f>
        <v>7.4119346247911801</v>
      </c>
      <c r="N133" s="16">
        <v>1499.9570000000001</v>
      </c>
      <c r="O133" s="1" t="s">
        <v>255</v>
      </c>
    </row>
    <row r="134" spans="1:15" s="1" customFormat="1">
      <c r="A134" s="2" t="s">
        <v>40</v>
      </c>
      <c r="B134" s="3" t="s">
        <v>38</v>
      </c>
      <c r="C134" s="1">
        <v>15.38</v>
      </c>
      <c r="D134" s="4">
        <v>2</v>
      </c>
      <c r="E134" s="4">
        <v>6</v>
      </c>
      <c r="F134" s="1">
        <v>32</v>
      </c>
      <c r="G134" s="1">
        <v>92.1</v>
      </c>
      <c r="H134" s="1">
        <v>66.099999999999994</v>
      </c>
      <c r="I134" s="1">
        <v>-46</v>
      </c>
      <c r="J134" s="1">
        <v>-30.4</v>
      </c>
      <c r="K134" s="1">
        <v>33.33</v>
      </c>
      <c r="L134" s="1">
        <f>LOG(F134,2)</f>
        <v>5</v>
      </c>
      <c r="M134" s="1">
        <f>LOG(G134,2)</f>
        <v>6.5251292512039729</v>
      </c>
      <c r="N134" s="14">
        <v>1595.143</v>
      </c>
      <c r="O134" s="1" t="s">
        <v>255</v>
      </c>
    </row>
    <row r="135" spans="1:15" s="1" customFormat="1">
      <c r="A135" s="2" t="s">
        <v>162</v>
      </c>
      <c r="B135" s="3" t="s">
        <v>80</v>
      </c>
      <c r="C135" s="1">
        <v>15.35</v>
      </c>
      <c r="D135" s="4">
        <v>2</v>
      </c>
      <c r="E135" s="4">
        <v>5</v>
      </c>
      <c r="F135" s="1">
        <v>64</v>
      </c>
      <c r="G135" s="1">
        <v>254.5</v>
      </c>
      <c r="H135" s="1">
        <v>55.1</v>
      </c>
      <c r="I135" s="1">
        <v>-39.799999999999997</v>
      </c>
      <c r="J135" s="1">
        <v>-21.9</v>
      </c>
      <c r="K135" s="1">
        <v>28.57</v>
      </c>
      <c r="L135" s="1">
        <f>LOG(F135,2)</f>
        <v>6</v>
      </c>
      <c r="M135" s="1">
        <f>LOG(G135,2)</f>
        <v>7.9915218460756954</v>
      </c>
      <c r="N135" s="14">
        <v>1544.01</v>
      </c>
      <c r="O135" s="1" t="s">
        <v>255</v>
      </c>
    </row>
    <row r="136" spans="1:15" s="1" customFormat="1">
      <c r="A136" s="2" t="s">
        <v>235</v>
      </c>
      <c r="B136" s="3" t="s">
        <v>236</v>
      </c>
      <c r="C136" s="1">
        <v>15.2</v>
      </c>
      <c r="D136" s="4">
        <v>0</v>
      </c>
      <c r="E136" s="4">
        <v>5</v>
      </c>
      <c r="F136" s="1">
        <v>64</v>
      </c>
      <c r="G136" s="1">
        <v>494.9</v>
      </c>
      <c r="H136" s="1">
        <v>0.3</v>
      </c>
      <c r="I136" s="1">
        <v>3.8</v>
      </c>
      <c r="J136" s="1">
        <v>-0.1</v>
      </c>
      <c r="K136" s="1">
        <v>42.86</v>
      </c>
      <c r="L136" s="1">
        <f>LOG(F136,2)</f>
        <v>6</v>
      </c>
      <c r="M136" s="1">
        <f>LOG(G136,2)</f>
        <v>8.9509932319796413</v>
      </c>
      <c r="N136" s="14">
        <v>1604.15</v>
      </c>
      <c r="O136" s="1" t="s">
        <v>255</v>
      </c>
    </row>
    <row r="137" spans="1:15" s="1" customFormat="1">
      <c r="A137" s="2" t="s">
        <v>82</v>
      </c>
      <c r="B137" s="3" t="s">
        <v>79</v>
      </c>
      <c r="C137" s="1">
        <v>15.13</v>
      </c>
      <c r="D137" s="4">
        <v>2</v>
      </c>
      <c r="E137" s="4">
        <v>6</v>
      </c>
      <c r="F137" s="1">
        <v>32</v>
      </c>
      <c r="G137" s="1">
        <v>223.7</v>
      </c>
      <c r="H137" s="1">
        <v>46.9</v>
      </c>
      <c r="I137" s="1">
        <v>-41.8</v>
      </c>
      <c r="J137" s="1">
        <v>-19.600000000000001</v>
      </c>
      <c r="K137" s="1">
        <v>28.57</v>
      </c>
      <c r="L137" s="1">
        <f>LOG(F137,2)</f>
        <v>5</v>
      </c>
      <c r="M137" s="1">
        <f>LOG(G137,2)</f>
        <v>7.8054214461717573</v>
      </c>
      <c r="N137" s="14">
        <v>1587.079</v>
      </c>
      <c r="O137" s="1" t="s">
        <v>254</v>
      </c>
    </row>
    <row r="138" spans="1:15" s="1" customFormat="1">
      <c r="A138" s="2" t="s">
        <v>70</v>
      </c>
      <c r="B138" s="3" t="s">
        <v>38</v>
      </c>
      <c r="C138" s="1">
        <v>15.12</v>
      </c>
      <c r="D138" s="4">
        <v>2</v>
      </c>
      <c r="E138" s="4">
        <v>5</v>
      </c>
      <c r="F138" s="1">
        <v>32</v>
      </c>
      <c r="G138" s="1">
        <v>697.4</v>
      </c>
      <c r="H138" s="1">
        <v>45.8</v>
      </c>
      <c r="I138" s="1">
        <v>-43.6</v>
      </c>
      <c r="J138" s="1">
        <v>-19.899999999999999</v>
      </c>
      <c r="K138" s="1">
        <v>33.33</v>
      </c>
      <c r="L138" s="1">
        <f>LOG(F138,2)</f>
        <v>5</v>
      </c>
      <c r="M138" s="1">
        <f>LOG(571.8,2)</f>
        <v>9.1593668097437355</v>
      </c>
      <c r="N138" s="14">
        <v>1481.9390000000001</v>
      </c>
      <c r="O138" s="1" t="s">
        <v>255</v>
      </c>
    </row>
    <row r="139" spans="1:15" s="1" customFormat="1">
      <c r="A139" s="2" t="s">
        <v>225</v>
      </c>
      <c r="B139" s="3" t="s">
        <v>226</v>
      </c>
      <c r="C139" s="1">
        <v>15.03</v>
      </c>
      <c r="D139" s="4">
        <v>2</v>
      </c>
      <c r="E139" s="4">
        <v>5</v>
      </c>
      <c r="F139" s="1">
        <v>32</v>
      </c>
      <c r="G139" s="1">
        <v>96.6</v>
      </c>
      <c r="H139" s="1">
        <v>0.4</v>
      </c>
      <c r="I139" s="1">
        <v>-10.3</v>
      </c>
      <c r="J139" s="1">
        <v>-0.2</v>
      </c>
      <c r="K139" s="1">
        <v>50</v>
      </c>
      <c r="L139" s="1">
        <f>LOG(F139,2)</f>
        <v>5</v>
      </c>
      <c r="M139" s="1">
        <f>LOG(G139,2)</f>
        <v>6.5939512839484111</v>
      </c>
      <c r="N139" s="12">
        <v>1570.0920000000001</v>
      </c>
      <c r="O139" s="1" t="s">
        <v>255</v>
      </c>
    </row>
    <row r="140" spans="1:15" s="1" customFormat="1">
      <c r="A140" s="2" t="s">
        <v>157</v>
      </c>
      <c r="B140" s="3" t="s">
        <v>158</v>
      </c>
      <c r="C140" s="1">
        <v>14.97</v>
      </c>
      <c r="D140" s="4">
        <v>2</v>
      </c>
      <c r="E140" s="4">
        <v>6</v>
      </c>
      <c r="F140" s="1">
        <v>16</v>
      </c>
      <c r="G140" s="1">
        <v>74.7</v>
      </c>
      <c r="H140" s="1">
        <v>54.7</v>
      </c>
      <c r="I140" s="1">
        <v>-39.299999999999997</v>
      </c>
      <c r="J140" s="1">
        <v>-21.5</v>
      </c>
      <c r="K140" s="1">
        <v>28.57</v>
      </c>
      <c r="L140" s="1">
        <f>LOG(F140,2)</f>
        <v>4</v>
      </c>
      <c r="M140" s="1">
        <f>LOG(G140,2)</f>
        <v>6.2230363379018749</v>
      </c>
      <c r="N140" s="16">
        <v>1613.1610000000001</v>
      </c>
      <c r="O140" s="1" t="s">
        <v>255</v>
      </c>
    </row>
    <row r="141" spans="1:15" s="1" customFormat="1">
      <c r="A141" s="2" t="s">
        <v>61</v>
      </c>
      <c r="B141" s="3" t="s">
        <v>38</v>
      </c>
      <c r="C141" s="1">
        <v>14.93</v>
      </c>
      <c r="D141" s="4">
        <v>2</v>
      </c>
      <c r="E141" s="4">
        <v>6</v>
      </c>
      <c r="F141" s="1">
        <v>32</v>
      </c>
      <c r="G141" s="1">
        <v>104.7</v>
      </c>
      <c r="H141" s="1">
        <v>52.6</v>
      </c>
      <c r="I141" s="1">
        <v>-49.3</v>
      </c>
      <c r="J141" s="1">
        <v>-25.9</v>
      </c>
      <c r="K141" s="1">
        <v>33.33</v>
      </c>
      <c r="L141" s="1">
        <f>LOG(F141,2)</f>
        <v>5</v>
      </c>
      <c r="M141" s="1">
        <f>LOG(G141,2)</f>
        <v>6.7101176320434464</v>
      </c>
      <c r="N141" s="20">
        <v>1609.17</v>
      </c>
      <c r="O141" s="1" t="s">
        <v>255</v>
      </c>
    </row>
    <row r="142" spans="1:15" s="1" customFormat="1">
      <c r="A142" s="2" t="s">
        <v>26</v>
      </c>
      <c r="B142" s="3" t="s">
        <v>27</v>
      </c>
      <c r="C142" s="1">
        <v>14.92</v>
      </c>
      <c r="D142" s="4">
        <v>0</v>
      </c>
      <c r="E142" s="4">
        <v>5</v>
      </c>
      <c r="F142" s="1">
        <v>64</v>
      </c>
      <c r="G142" s="1">
        <v>475.1</v>
      </c>
      <c r="H142" s="1">
        <v>23.1</v>
      </c>
      <c r="I142" s="1">
        <v>-48.9</v>
      </c>
      <c r="J142" s="1">
        <v>-11.3</v>
      </c>
      <c r="K142" s="1">
        <v>25</v>
      </c>
      <c r="L142" s="1">
        <f>LOG(F142,2)</f>
        <v>6</v>
      </c>
      <c r="M142" s="1">
        <f>LOG(G142,2)</f>
        <v>8.8920873965234826</v>
      </c>
      <c r="N142" s="14">
        <v>1534.0150000000001</v>
      </c>
      <c r="O142" s="1" t="s">
        <v>254</v>
      </c>
    </row>
    <row r="143" spans="1:15" s="1" customFormat="1">
      <c r="A143" s="2" t="s">
        <v>151</v>
      </c>
      <c r="B143" s="3" t="s">
        <v>152</v>
      </c>
      <c r="C143" s="1">
        <v>14.48</v>
      </c>
      <c r="D143" s="4">
        <v>2</v>
      </c>
      <c r="E143" s="4">
        <v>6</v>
      </c>
      <c r="F143" s="1">
        <v>32</v>
      </c>
      <c r="G143" s="1">
        <v>241.6</v>
      </c>
      <c r="H143" s="1">
        <v>46.3</v>
      </c>
      <c r="I143" s="1">
        <v>-36.6</v>
      </c>
      <c r="J143" s="1">
        <v>-16.899999999999999</v>
      </c>
      <c r="K143" s="1">
        <v>28.57</v>
      </c>
      <c r="L143" s="1">
        <f>LOG(F143,2)</f>
        <v>5</v>
      </c>
      <c r="M143" s="1">
        <f>LOG(G143,2)</f>
        <v>7.9164766444377168</v>
      </c>
      <c r="N143" s="16">
        <v>1656.1859999999999</v>
      </c>
      <c r="O143" s="1" t="s">
        <v>255</v>
      </c>
    </row>
    <row r="144" spans="1:15" s="1" customFormat="1">
      <c r="A144" s="2" t="s">
        <v>153</v>
      </c>
      <c r="B144" s="3" t="s">
        <v>154</v>
      </c>
      <c r="C144" s="1">
        <v>14.46</v>
      </c>
      <c r="D144" s="4">
        <v>2</v>
      </c>
      <c r="E144" s="4">
        <v>6</v>
      </c>
      <c r="F144" s="1">
        <v>16</v>
      </c>
      <c r="G144" s="1">
        <v>145.19999999999999</v>
      </c>
      <c r="H144" s="1">
        <v>60.9</v>
      </c>
      <c r="I144" s="1">
        <v>-39.5</v>
      </c>
      <c r="J144" s="1">
        <v>-24.1</v>
      </c>
      <c r="K144" s="1">
        <v>28.57</v>
      </c>
      <c r="L144" s="1">
        <f>LOG(F144,2)</f>
        <v>4</v>
      </c>
      <c r="M144" s="1">
        <f>LOG(G144,2)</f>
        <v>7.1818976431083881</v>
      </c>
      <c r="N144" s="16">
        <v>1599.134</v>
      </c>
      <c r="O144" s="1" t="s">
        <v>255</v>
      </c>
    </row>
    <row r="145" spans="1:15" s="1" customFormat="1">
      <c r="A145" s="2" t="s">
        <v>71</v>
      </c>
      <c r="B145" s="3" t="s">
        <v>38</v>
      </c>
      <c r="C145" s="1">
        <v>14.45</v>
      </c>
      <c r="D145" s="4">
        <v>2</v>
      </c>
      <c r="E145" s="4">
        <v>5</v>
      </c>
      <c r="F145" s="1">
        <v>64</v>
      </c>
      <c r="G145" s="1">
        <v>1431.7</v>
      </c>
      <c r="H145" s="1">
        <v>42.6</v>
      </c>
      <c r="I145" s="1">
        <v>-43.5</v>
      </c>
      <c r="J145" s="1">
        <v>-18.600000000000001</v>
      </c>
      <c r="K145" s="1">
        <v>33.33</v>
      </c>
      <c r="L145" s="1">
        <f>LOG(F145,2)</f>
        <v>6</v>
      </c>
      <c r="M145" s="1">
        <f>LOG(1543.5, 2)</f>
        <v>10.591989767615125</v>
      </c>
      <c r="N145" s="14">
        <v>1481.9390000000001</v>
      </c>
      <c r="O145" s="1" t="s">
        <v>255</v>
      </c>
    </row>
    <row r="146" spans="1:15" s="1" customFormat="1">
      <c r="A146" s="2" t="s">
        <v>19</v>
      </c>
      <c r="B146" s="3" t="s">
        <v>17</v>
      </c>
      <c r="C146" s="1">
        <v>14.42</v>
      </c>
      <c r="D146" s="4">
        <v>2</v>
      </c>
      <c r="E146" s="4">
        <v>6</v>
      </c>
      <c r="F146" s="1">
        <v>16</v>
      </c>
      <c r="G146" s="1">
        <v>60.7</v>
      </c>
      <c r="H146" s="1">
        <v>46.9</v>
      </c>
      <c r="I146" s="1">
        <v>-45.4</v>
      </c>
      <c r="J146" s="1">
        <v>-21.3</v>
      </c>
      <c r="K146" s="1">
        <v>25</v>
      </c>
      <c r="L146" s="1">
        <f>LOG(F146,2)</f>
        <v>4</v>
      </c>
      <c r="M146" s="1">
        <f>LOG(G146,2)</f>
        <v>5.9236246113683197</v>
      </c>
      <c r="N146" s="16">
        <v>1599.134</v>
      </c>
      <c r="O146" s="1" t="s">
        <v>255</v>
      </c>
    </row>
    <row r="147" spans="1:15" s="1" customFormat="1">
      <c r="A147" s="2" t="s">
        <v>66</v>
      </c>
      <c r="B147" s="3" t="s">
        <v>38</v>
      </c>
      <c r="C147" s="1">
        <v>13.95</v>
      </c>
      <c r="D147" s="4">
        <v>2</v>
      </c>
      <c r="E147" s="4">
        <v>5</v>
      </c>
      <c r="F147" s="1">
        <v>64</v>
      </c>
      <c r="G147" s="1">
        <v>1244</v>
      </c>
      <c r="H147" s="1">
        <v>57.1</v>
      </c>
      <c r="I147" s="1">
        <v>-29.1</v>
      </c>
      <c r="J147" s="1">
        <v>-16.600000000000001</v>
      </c>
      <c r="K147" s="1">
        <v>33.33</v>
      </c>
      <c r="L147" s="1">
        <f>LOG(F147,2)</f>
        <v>6</v>
      </c>
      <c r="M147" s="1">
        <f>LOG(742.9,2)</f>
        <v>9.5370242158635747</v>
      </c>
      <c r="N147" s="19">
        <v>1465.94</v>
      </c>
      <c r="O147" s="1" t="s">
        <v>255</v>
      </c>
    </row>
    <row r="148" spans="1:15" s="1" customFormat="1">
      <c r="A148" s="2" t="s">
        <v>233</v>
      </c>
      <c r="B148" s="3" t="s">
        <v>234</v>
      </c>
      <c r="C148" s="1">
        <v>13.72</v>
      </c>
      <c r="D148" s="4">
        <v>0</v>
      </c>
      <c r="E148" s="4">
        <v>5</v>
      </c>
      <c r="F148" s="1">
        <v>128</v>
      </c>
      <c r="G148" s="1">
        <v>417.6</v>
      </c>
      <c r="H148" s="1">
        <v>-1.5</v>
      </c>
      <c r="I148" s="1">
        <v>6.6</v>
      </c>
      <c r="J148" s="1">
        <v>0.8</v>
      </c>
      <c r="K148" s="1">
        <v>42.86</v>
      </c>
      <c r="L148" s="1">
        <f>LOG(F148,2)</f>
        <v>7</v>
      </c>
      <c r="M148" s="1">
        <f>LOG(G148,2)</f>
        <v>8.7059779016825232</v>
      </c>
      <c r="N148" s="14">
        <v>1562.069</v>
      </c>
      <c r="O148" s="1" t="s">
        <v>255</v>
      </c>
    </row>
  </sheetData>
  <autoFilter ref="A1:O1" xr:uid="{96A89881-C266-47DB-80C7-0A0295928078}">
    <sortState xmlns:xlrd2="http://schemas.microsoft.com/office/spreadsheetml/2017/richdata2" ref="A2:O148">
      <sortCondition descending="1" ref="C1"/>
    </sortState>
  </autoFilter>
  <sortState xmlns:xlrd2="http://schemas.microsoft.com/office/spreadsheetml/2017/richdata2" ref="A2:J172">
    <sortCondition ref="A2:A17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D962-85A1-478F-AF54-9AA8291ED398}">
  <dimension ref="A1:N28"/>
  <sheetViews>
    <sheetView workbookViewId="0">
      <selection activeCell="E21" sqref="E21"/>
    </sheetView>
  </sheetViews>
  <sheetFormatPr defaultRowHeight="15.75"/>
  <sheetData>
    <row r="1" spans="1:14">
      <c r="A1" s="9"/>
      <c r="B1" s="9" t="s">
        <v>4</v>
      </c>
      <c r="C1" s="9" t="s">
        <v>246</v>
      </c>
      <c r="D1" s="9" t="s">
        <v>247</v>
      </c>
      <c r="E1" s="9" t="s">
        <v>244</v>
      </c>
      <c r="F1" s="9" t="s">
        <v>245</v>
      </c>
      <c r="G1" s="9" t="s">
        <v>7</v>
      </c>
      <c r="H1" s="9" t="s">
        <v>242</v>
      </c>
      <c r="I1" s="9" t="s">
        <v>243</v>
      </c>
      <c r="J1" s="9" t="s">
        <v>248</v>
      </c>
      <c r="K1" s="9" t="s">
        <v>249</v>
      </c>
      <c r="L1" s="9" t="s">
        <v>241</v>
      </c>
    </row>
    <row r="2" spans="1:14">
      <c r="A2" t="s">
        <v>4</v>
      </c>
      <c r="B2">
        <v>1</v>
      </c>
    </row>
    <row r="3" spans="1:14">
      <c r="A3" t="s">
        <v>246</v>
      </c>
      <c r="B3">
        <v>-7.6869083078875231E-2</v>
      </c>
      <c r="C3">
        <v>1</v>
      </c>
      <c r="N3" t="s">
        <v>250</v>
      </c>
    </row>
    <row r="4" spans="1:14">
      <c r="A4" t="s">
        <v>247</v>
      </c>
      <c r="B4">
        <v>-0.55387074746344889</v>
      </c>
      <c r="C4">
        <v>5.4862992807877022E-2</v>
      </c>
      <c r="D4">
        <v>1</v>
      </c>
    </row>
    <row r="5" spans="1:14">
      <c r="A5" t="s">
        <v>244</v>
      </c>
      <c r="B5">
        <v>-0.55170652586681668</v>
      </c>
      <c r="C5">
        <v>1.9868168088199082E-2</v>
      </c>
      <c r="D5">
        <v>2.0253378437791354E-2</v>
      </c>
      <c r="E5">
        <v>1</v>
      </c>
    </row>
    <row r="6" spans="1:14">
      <c r="A6" t="s">
        <v>245</v>
      </c>
      <c r="B6">
        <v>-0.58751806430181464</v>
      </c>
      <c r="C6">
        <v>8.1860201804188876E-2</v>
      </c>
      <c r="D6">
        <v>0.10642574820419502</v>
      </c>
      <c r="E6">
        <v>0.61102895037407412</v>
      </c>
      <c r="F6">
        <v>1</v>
      </c>
    </row>
    <row r="7" spans="1:14">
      <c r="A7" t="s">
        <v>7</v>
      </c>
      <c r="B7">
        <v>0.55558336055933411</v>
      </c>
      <c r="C7">
        <v>0.46868121814227204</v>
      </c>
      <c r="D7">
        <v>-0.23621940584071083</v>
      </c>
      <c r="E7">
        <v>-0.43033658425785831</v>
      </c>
      <c r="F7">
        <v>-0.28345410393187537</v>
      </c>
      <c r="G7">
        <v>1</v>
      </c>
    </row>
    <row r="8" spans="1:14">
      <c r="A8" t="s">
        <v>242</v>
      </c>
      <c r="B8">
        <v>-0.75836826781759048</v>
      </c>
      <c r="C8">
        <v>6.1827981630396697E-2</v>
      </c>
      <c r="D8">
        <v>9.4541960130768252E-2</v>
      </c>
      <c r="E8">
        <v>0.80183428127190015</v>
      </c>
      <c r="F8">
        <v>0.66695500583185074</v>
      </c>
      <c r="G8">
        <v>-0.51626422698016461</v>
      </c>
      <c r="H8">
        <v>1</v>
      </c>
    </row>
    <row r="9" spans="1:14">
      <c r="A9" t="s">
        <v>243</v>
      </c>
      <c r="B9">
        <v>-0.83985565099191695</v>
      </c>
      <c r="C9">
        <v>0.16253105666803944</v>
      </c>
      <c r="D9">
        <v>0.2170393114518416</v>
      </c>
      <c r="E9">
        <v>0.58630278315250395</v>
      </c>
      <c r="F9">
        <v>0.68449877487633359</v>
      </c>
      <c r="G9">
        <v>-0.42619648761567114</v>
      </c>
      <c r="H9">
        <v>0.83409956159402199</v>
      </c>
      <c r="I9">
        <v>1</v>
      </c>
    </row>
    <row r="10" spans="1:14">
      <c r="A10" t="s">
        <v>248</v>
      </c>
      <c r="B10">
        <v>-0.29761785632963261</v>
      </c>
      <c r="C10">
        <v>-0.23693997778071019</v>
      </c>
      <c r="D10">
        <v>-3.6240575184022252E-3</v>
      </c>
      <c r="E10">
        <v>0.40570485712808668</v>
      </c>
      <c r="F10">
        <v>0.23586309916818907</v>
      </c>
      <c r="G10">
        <v>-0.50181863405988536</v>
      </c>
      <c r="H10">
        <v>0.36687572445529087</v>
      </c>
      <c r="I10">
        <v>0.10318439985679678</v>
      </c>
      <c r="J10">
        <v>1</v>
      </c>
    </row>
    <row r="11" spans="1:14">
      <c r="A11" t="s">
        <v>249</v>
      </c>
      <c r="B11">
        <v>-0.59857697646851804</v>
      </c>
      <c r="C11">
        <v>-0.50447145630560464</v>
      </c>
      <c r="D11">
        <v>0.24033705750802323</v>
      </c>
      <c r="E11">
        <v>0.45061761277274975</v>
      </c>
      <c r="F11">
        <v>0.34286619673688284</v>
      </c>
      <c r="G11">
        <v>-0.92070013769332015</v>
      </c>
      <c r="H11">
        <v>0.55250103606343526</v>
      </c>
      <c r="I11">
        <v>0.42760769786321884</v>
      </c>
      <c r="J11">
        <v>0.68413539120548761</v>
      </c>
      <c r="K11">
        <v>1</v>
      </c>
    </row>
    <row r="12" spans="1:14" ht="16.5" thickBot="1">
      <c r="A12" s="8" t="s">
        <v>241</v>
      </c>
      <c r="B12" s="8">
        <v>-0.27584707649448525</v>
      </c>
      <c r="C12" s="8">
        <v>7.6619912568299628E-2</v>
      </c>
      <c r="D12" s="8">
        <v>0.17338367460737855</v>
      </c>
      <c r="E12" s="8">
        <v>0.26442371321011837</v>
      </c>
      <c r="F12" s="8">
        <v>0.16883303542794931</v>
      </c>
      <c r="G12" s="8">
        <v>-0.4102643599717743</v>
      </c>
      <c r="H12" s="8">
        <v>0.19363610308210111</v>
      </c>
      <c r="I12" s="8">
        <v>8.3946637650715125E-2</v>
      </c>
      <c r="J12" s="8">
        <v>0.48850098143637122</v>
      </c>
      <c r="K12" s="8">
        <v>0.33342671094540949</v>
      </c>
      <c r="L12" s="8">
        <v>1</v>
      </c>
    </row>
    <row r="20" spans="1:14" ht="16.5" thickBot="1"/>
    <row r="21" spans="1:14">
      <c r="A21" s="9"/>
      <c r="B21" s="9" t="s">
        <v>4</v>
      </c>
      <c r="C21" s="9" t="s">
        <v>246</v>
      </c>
      <c r="D21" s="9" t="s">
        <v>247</v>
      </c>
      <c r="E21" s="9" t="s">
        <v>7</v>
      </c>
      <c r="F21" s="9" t="s">
        <v>248</v>
      </c>
      <c r="G21" s="9" t="s">
        <v>249</v>
      </c>
      <c r="H21" s="9" t="s">
        <v>241</v>
      </c>
      <c r="I21" s="10"/>
      <c r="N21" s="10" t="s">
        <v>251</v>
      </c>
    </row>
    <row r="22" spans="1:14">
      <c r="A22" t="s">
        <v>4</v>
      </c>
      <c r="B22">
        <v>1</v>
      </c>
    </row>
    <row r="23" spans="1:14">
      <c r="A23" t="s">
        <v>246</v>
      </c>
      <c r="B23">
        <v>-7.6869083078875231E-2</v>
      </c>
      <c r="C23">
        <v>1</v>
      </c>
    </row>
    <row r="24" spans="1:14">
      <c r="A24" t="s">
        <v>247</v>
      </c>
      <c r="B24">
        <v>-0.55387074746344889</v>
      </c>
      <c r="C24">
        <v>5.4862992807877022E-2</v>
      </c>
      <c r="D24">
        <v>1</v>
      </c>
    </row>
    <row r="25" spans="1:14">
      <c r="A25" t="s">
        <v>7</v>
      </c>
      <c r="B25">
        <v>0.55558336055933411</v>
      </c>
      <c r="C25">
        <v>0.46868121814227204</v>
      </c>
      <c r="D25">
        <v>-0.23621940584071083</v>
      </c>
      <c r="E25">
        <v>1</v>
      </c>
    </row>
    <row r="26" spans="1:14">
      <c r="A26" t="s">
        <v>248</v>
      </c>
      <c r="B26">
        <v>-0.29761785632963261</v>
      </c>
      <c r="C26">
        <v>-0.23693997778071019</v>
      </c>
      <c r="D26">
        <v>-3.6240575184022252E-3</v>
      </c>
      <c r="E26">
        <v>-0.50181863405988536</v>
      </c>
      <c r="F26">
        <v>1</v>
      </c>
    </row>
    <row r="27" spans="1:14">
      <c r="A27" t="s">
        <v>249</v>
      </c>
      <c r="B27">
        <v>-0.59857697646851804</v>
      </c>
      <c r="C27">
        <v>-0.50447145630560464</v>
      </c>
      <c r="D27">
        <v>0.24033705750802323</v>
      </c>
      <c r="E27" s="11">
        <v>-0.92070013769332015</v>
      </c>
      <c r="F27">
        <v>0.68413539120548761</v>
      </c>
      <c r="G27">
        <v>1</v>
      </c>
    </row>
    <row r="28" spans="1:14" ht="16.5" thickBot="1">
      <c r="A28" s="8" t="s">
        <v>241</v>
      </c>
      <c r="B28" s="8">
        <v>-0.27584707649448525</v>
      </c>
      <c r="C28" s="8">
        <v>7.6619912568299628E-2</v>
      </c>
      <c r="D28" s="8">
        <v>0.17338367460737855</v>
      </c>
      <c r="E28" s="8">
        <v>-0.4102643599717743</v>
      </c>
      <c r="F28" s="8">
        <v>0.48850098143637122</v>
      </c>
      <c r="G28" s="8">
        <v>0.33342671094540949</v>
      </c>
      <c r="H28" s="8">
        <v>1</v>
      </c>
    </row>
  </sheetData>
  <conditionalFormatting sqref="B2:L12 B22:F29 H29:L29 F22:I28">
    <cfRule type="colorScale" priority="2">
      <colorScale>
        <cfvo type="num" val="-1"/>
        <cfvo type="num" val="0"/>
        <cfvo type="num" val="1"/>
        <color rgb="FF002060"/>
        <color theme="0"/>
        <color rgb="FFC0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EC85-098A-40E6-902A-9396BEB80092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Ryul Lee</dc:creator>
  <cp:lastModifiedBy>DOUGLAS CHANG</cp:lastModifiedBy>
  <dcterms:created xsi:type="dcterms:W3CDTF">2021-11-08T18:29:27Z</dcterms:created>
  <dcterms:modified xsi:type="dcterms:W3CDTF">2024-08-27T00:32:27Z</dcterms:modified>
</cp:coreProperties>
</file>