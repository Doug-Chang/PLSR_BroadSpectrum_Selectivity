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dhchang2_wisc_edu/Documents/Peptide AMP Prediction Python/"/>
    </mc:Choice>
  </mc:AlternateContent>
  <xr:revisionPtr revIDLastSave="38" documentId="8_{34228AD8-4D34-44D8-B096-5B848E9926A6}" xr6:coauthVersionLast="47" xr6:coauthVersionMax="47" xr10:uidLastSave="{0DB9E713-970F-4A4B-ADE2-9093319EDA16}"/>
  <bookViews>
    <workbookView xWindow="-120" yWindow="-120" windowWidth="29040" windowHeight="15720" xr2:uid="{8CD751E3-2A5A-406D-9B73-93B3FF74919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1" l="1" a="1"/>
  <c r="A25" i="1" s="1"/>
  <c r="A23" i="1" a="1"/>
  <c r="A23" i="1" s="1"/>
  <c r="A20" i="1" a="1"/>
  <c r="A20" i="1" s="1"/>
  <c r="A18" i="1" a="1"/>
  <c r="A18" i="1" s="1"/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wprod-my.sharepoint.com/personal/dhchang2_wisc_edu/Documents/Peptide%20AMP%20Prediction%20Python/simpPepGeoMean.xlsx" TargetMode="External"/><Relationship Id="rId1" Type="http://schemas.openxmlformats.org/officeDocument/2006/relationships/externalLinkPath" Target="simpPepGeoMe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uncated data"/>
      <sheetName val="Sheet5"/>
      <sheetName val="Sheet5 (2)"/>
      <sheetName val="Sheet2"/>
    </sheetNames>
    <sheetDataSet>
      <sheetData sheetId="0">
        <row r="1">
          <cell r="A1">
            <v>0</v>
          </cell>
          <cell r="B1" t="str">
            <v>αβ_combination</v>
          </cell>
          <cell r="C1" t="str">
            <v>MW</v>
          </cell>
          <cell r="D1" t="str">
            <v>RT</v>
          </cell>
          <cell r="E1" t="str">
            <v>ACPC</v>
          </cell>
          <cell r="F1" t="str">
            <v>charge</v>
          </cell>
          <cell r="G1" t="str">
            <v>ab ratio</v>
          </cell>
          <cell r="H1" t="str">
            <v>MIC_CA</v>
          </cell>
          <cell r="I1" t="str">
            <v>MIC_CT</v>
          </cell>
          <cell r="J1" t="str">
            <v>MIC_CP</v>
          </cell>
          <cell r="K1" t="str">
            <v>MIC_CG</v>
          </cell>
          <cell r="L1" t="str">
            <v>MIC_SA</v>
          </cell>
          <cell r="M1" t="str">
            <v>MIC_EC</v>
          </cell>
          <cell r="N1" t="str">
            <v>IC50_HUVEC</v>
          </cell>
          <cell r="O1" t="str">
            <v>IC50_3T3</v>
          </cell>
          <cell r="P1" t="str">
            <v>HC10</v>
          </cell>
          <cell r="Q1" t="str">
            <v>Helicity</v>
          </cell>
          <cell r="R1" t="str">
            <v>ME100</v>
          </cell>
          <cell r="S1" t="str">
            <v>ME15</v>
          </cell>
        </row>
        <row r="2">
          <cell r="A2" t="str">
            <v>#001</v>
          </cell>
          <cell r="B2" t="str">
            <v>α</v>
          </cell>
          <cell r="C2">
            <v>1479.787</v>
          </cell>
          <cell r="D2">
            <v>22.89</v>
          </cell>
          <cell r="E2">
            <v>0</v>
          </cell>
          <cell r="F2">
            <v>1</v>
          </cell>
          <cell r="G2">
            <v>0</v>
          </cell>
          <cell r="H2">
            <v>6</v>
          </cell>
          <cell r="I2">
            <v>5.666666666666667</v>
          </cell>
          <cell r="J2">
            <v>6.666666666666667</v>
          </cell>
          <cell r="K2">
            <v>7.666666666666667</v>
          </cell>
          <cell r="L2">
            <v>5.666666666666667</v>
          </cell>
          <cell r="M2">
            <v>4.666666666666667</v>
          </cell>
          <cell r="N2">
            <v>6.0145555571813283</v>
          </cell>
          <cell r="O2">
            <v>5.8101553883631594</v>
          </cell>
          <cell r="P2">
            <v>5.1292830169449664</v>
          </cell>
          <cell r="Q2">
            <v>83.5</v>
          </cell>
          <cell r="R2">
            <v>-23.4</v>
          </cell>
          <cell r="S2">
            <v>-19.5</v>
          </cell>
        </row>
        <row r="3">
          <cell r="A3" t="str">
            <v>#012</v>
          </cell>
          <cell r="B3" t="str">
            <v>ααβ</v>
          </cell>
          <cell r="C3">
            <v>1481.9390000000001</v>
          </cell>
          <cell r="D3">
            <v>16.28</v>
          </cell>
          <cell r="E3">
            <v>2</v>
          </cell>
          <cell r="F3">
            <v>5</v>
          </cell>
          <cell r="G3">
            <v>33.33</v>
          </cell>
          <cell r="H3">
            <v>4.666666666666667</v>
          </cell>
          <cell r="I3">
            <v>4</v>
          </cell>
          <cell r="J3">
            <v>4.666666666666667</v>
          </cell>
          <cell r="K3">
            <v>6.666666666666667</v>
          </cell>
          <cell r="L3">
            <v>3.6666666666666665</v>
          </cell>
          <cell r="M3">
            <v>2.6666666666666665</v>
          </cell>
          <cell r="N3">
            <v>6.9285302342749526</v>
          </cell>
          <cell r="O3">
            <v>6.894825195277658</v>
          </cell>
          <cell r="P3">
            <v>7.7279204545631996</v>
          </cell>
          <cell r="Q3">
            <v>55.7</v>
          </cell>
          <cell r="R3">
            <v>-57.1</v>
          </cell>
          <cell r="S3">
            <v>-31.8</v>
          </cell>
        </row>
        <row r="4">
          <cell r="A4" t="str">
            <v>#013</v>
          </cell>
          <cell r="B4" t="str">
            <v>ααβ</v>
          </cell>
          <cell r="C4">
            <v>1524.02</v>
          </cell>
          <cell r="D4">
            <v>18.37</v>
          </cell>
          <cell r="E4">
            <v>2</v>
          </cell>
          <cell r="F4">
            <v>5</v>
          </cell>
          <cell r="G4">
            <v>33.33</v>
          </cell>
          <cell r="H4">
            <v>3</v>
          </cell>
          <cell r="I4">
            <v>2.6666666666666665</v>
          </cell>
          <cell r="J4">
            <v>3.6666666666666665</v>
          </cell>
          <cell r="K4">
            <v>5.666666666666667</v>
          </cell>
          <cell r="L4">
            <v>2</v>
          </cell>
          <cell r="M4">
            <v>2.3333333333333335</v>
          </cell>
          <cell r="N4">
            <v>4.6641934167216741</v>
          </cell>
          <cell r="O4">
            <v>4.6644793040409205</v>
          </cell>
          <cell r="P4">
            <v>5.3680698765320827</v>
          </cell>
          <cell r="Q4">
            <v>67.5</v>
          </cell>
          <cell r="R4">
            <v>-58.8</v>
          </cell>
          <cell r="S4">
            <v>-39.700000000000003</v>
          </cell>
        </row>
        <row r="5">
          <cell r="A5" t="str">
            <v>#014</v>
          </cell>
          <cell r="B5" t="str">
            <v>ααβ</v>
          </cell>
          <cell r="C5">
            <v>1550.1020000000001</v>
          </cell>
          <cell r="D5">
            <v>19.45</v>
          </cell>
          <cell r="E5">
            <v>2</v>
          </cell>
          <cell r="F5">
            <v>5</v>
          </cell>
          <cell r="G5">
            <v>33.33</v>
          </cell>
          <cell r="H5">
            <v>2.3333333333333335</v>
          </cell>
          <cell r="I5">
            <v>3</v>
          </cell>
          <cell r="J5">
            <v>3</v>
          </cell>
          <cell r="K5">
            <v>4.666666666666667</v>
          </cell>
          <cell r="L5">
            <v>2</v>
          </cell>
          <cell r="M5">
            <v>4.666666666666667</v>
          </cell>
          <cell r="N5">
            <v>2.9945497348547261</v>
          </cell>
          <cell r="O5">
            <v>3.2390771048393145</v>
          </cell>
          <cell r="P5">
            <v>1.8073549220576042</v>
          </cell>
          <cell r="Q5">
            <v>88</v>
          </cell>
          <cell r="R5">
            <v>-44.6</v>
          </cell>
          <cell r="S5">
            <v>-39.299999999999997</v>
          </cell>
        </row>
        <row r="6">
          <cell r="A6" t="str">
            <v>#029</v>
          </cell>
          <cell r="B6" t="str">
            <v>ααβαααβ</v>
          </cell>
          <cell r="C6">
            <v>1515.9559999999999</v>
          </cell>
          <cell r="D6">
            <v>17.18</v>
          </cell>
          <cell r="E6">
            <v>2</v>
          </cell>
          <cell r="F6">
            <v>5</v>
          </cell>
          <cell r="G6">
            <v>28.57</v>
          </cell>
          <cell r="H6">
            <v>4</v>
          </cell>
          <cell r="I6">
            <v>3.3333333333333335</v>
          </cell>
          <cell r="J6">
            <v>3.6666666666666665</v>
          </cell>
          <cell r="K6">
            <v>6</v>
          </cell>
          <cell r="L6">
            <v>3.3333333333333335</v>
          </cell>
          <cell r="M6">
            <v>2.6666666666666665</v>
          </cell>
          <cell r="N6">
            <v>6.5674963995373687</v>
          </cell>
          <cell r="O6">
            <v>6.0126818390869285</v>
          </cell>
          <cell r="P6">
            <v>7.2431739834729507</v>
          </cell>
          <cell r="Q6">
            <v>51.7</v>
          </cell>
          <cell r="R6">
            <v>-53.7</v>
          </cell>
          <cell r="S6">
            <v>-27.7</v>
          </cell>
        </row>
        <row r="7">
          <cell r="A7" t="str">
            <v>#029-G1K-p6</v>
          </cell>
          <cell r="B7" t="str">
            <v>ααβαααβ</v>
          </cell>
          <cell r="C7">
            <v>1587.079</v>
          </cell>
          <cell r="D7">
            <v>15.13</v>
          </cell>
          <cell r="E7">
            <v>2</v>
          </cell>
          <cell r="F7">
            <v>6</v>
          </cell>
          <cell r="G7">
            <v>28.57</v>
          </cell>
          <cell r="H7">
            <v>4.666666666666667</v>
          </cell>
          <cell r="I7">
            <v>4</v>
          </cell>
          <cell r="J7">
            <v>4</v>
          </cell>
          <cell r="K7">
            <v>6.666666666666667</v>
          </cell>
          <cell r="L7">
            <v>3.3333333333333335</v>
          </cell>
          <cell r="M7">
            <v>3</v>
          </cell>
          <cell r="N7">
            <v>6.9333809147285717</v>
          </cell>
          <cell r="O7">
            <v>5.982090722595931</v>
          </cell>
          <cell r="P7">
            <v>7.8054214461717573</v>
          </cell>
          <cell r="Q7">
            <v>46.9</v>
          </cell>
          <cell r="R7">
            <v>-41.8</v>
          </cell>
          <cell r="S7">
            <v>-19.600000000000001</v>
          </cell>
        </row>
        <row r="8">
          <cell r="A8" t="str">
            <v>#032</v>
          </cell>
          <cell r="B8" t="str">
            <v>ααβαααβ</v>
          </cell>
          <cell r="C8">
            <v>1516.896</v>
          </cell>
          <cell r="D8">
            <v>19.170000000000002</v>
          </cell>
          <cell r="E8">
            <v>2</v>
          </cell>
          <cell r="F8">
            <v>3</v>
          </cell>
          <cell r="G8">
            <v>28.57</v>
          </cell>
          <cell r="H8">
            <v>5</v>
          </cell>
          <cell r="I8">
            <v>5</v>
          </cell>
          <cell r="J8">
            <v>5.3333333333333339</v>
          </cell>
          <cell r="K8">
            <v>6.666666666666667</v>
          </cell>
          <cell r="L8">
            <v>4</v>
          </cell>
          <cell r="M8">
            <v>3</v>
          </cell>
          <cell r="N8">
            <v>6.6773725194956786</v>
          </cell>
          <cell r="O8">
            <v>6.6707268834703353</v>
          </cell>
          <cell r="P8">
            <v>7.1618876823768947</v>
          </cell>
          <cell r="Q8">
            <v>70.7</v>
          </cell>
          <cell r="R8">
            <v>-54.2</v>
          </cell>
          <cell r="S8">
            <v>-38.299999999999997</v>
          </cell>
        </row>
        <row r="9">
          <cell r="A9" t="str">
            <v>#035</v>
          </cell>
          <cell r="B9" t="str">
            <v>ααβαααβ</v>
          </cell>
          <cell r="C9">
            <v>1502.8689999999999</v>
          </cell>
          <cell r="D9">
            <v>19.670000000000002</v>
          </cell>
          <cell r="E9">
            <v>2</v>
          </cell>
          <cell r="F9">
            <v>3</v>
          </cell>
          <cell r="G9">
            <v>28.57</v>
          </cell>
          <cell r="H9">
            <v>4</v>
          </cell>
          <cell r="I9">
            <v>3.6666666666666665</v>
          </cell>
          <cell r="J9">
            <v>4.3333333333333339</v>
          </cell>
          <cell r="K9">
            <v>6.3333333333333339</v>
          </cell>
          <cell r="L9">
            <v>3</v>
          </cell>
          <cell r="M9">
            <v>2.3333333333333335</v>
          </cell>
          <cell r="N9">
            <v>5.7036429389839043</v>
          </cell>
          <cell r="O9">
            <v>5.4373956814257571</v>
          </cell>
          <cell r="P9">
            <v>5.5484366246960422</v>
          </cell>
          <cell r="Q9">
            <v>73.099999999999994</v>
          </cell>
          <cell r="R9">
            <v>-54.7</v>
          </cell>
          <cell r="S9">
            <v>-40</v>
          </cell>
        </row>
        <row r="10">
          <cell r="A10" t="str">
            <v>#038</v>
          </cell>
          <cell r="B10" t="str">
            <v>ααβαααβ</v>
          </cell>
          <cell r="C10">
            <v>1548.0419999999999</v>
          </cell>
          <cell r="D10">
            <v>16.97</v>
          </cell>
          <cell r="E10">
            <v>0</v>
          </cell>
          <cell r="F10">
            <v>5</v>
          </cell>
          <cell r="G10">
            <v>28.57</v>
          </cell>
          <cell r="H10">
            <v>4</v>
          </cell>
          <cell r="I10">
            <v>4.666666666666667</v>
          </cell>
          <cell r="J10">
            <v>4.666666666666667</v>
          </cell>
          <cell r="K10">
            <v>6.3333333333333339</v>
          </cell>
          <cell r="L10">
            <v>2.5</v>
          </cell>
          <cell r="M10">
            <v>4</v>
          </cell>
          <cell r="N10">
            <v>5.6765851604554793</v>
          </cell>
          <cell r="O10">
            <v>4.7248703502845331</v>
          </cell>
          <cell r="P10">
            <v>5.9886846867721655</v>
          </cell>
          <cell r="Q10">
            <v>25.4</v>
          </cell>
          <cell r="R10">
            <v>-50.7</v>
          </cell>
          <cell r="S10">
            <v>-12.9</v>
          </cell>
        </row>
        <row r="11">
          <cell r="A11" t="str">
            <v>#055</v>
          </cell>
          <cell r="B11" t="str">
            <v>αβ</v>
          </cell>
          <cell r="C11">
            <v>1618.1769999999999</v>
          </cell>
          <cell r="D11">
            <v>15.99</v>
          </cell>
          <cell r="E11">
            <v>0</v>
          </cell>
          <cell r="F11">
            <v>5</v>
          </cell>
          <cell r="G11">
            <v>50</v>
          </cell>
          <cell r="H11">
            <v>6.3333333333333339</v>
          </cell>
          <cell r="I11">
            <v>4</v>
          </cell>
          <cell r="J11">
            <v>5.666666666666667</v>
          </cell>
          <cell r="K11">
            <v>7</v>
          </cell>
          <cell r="L11">
            <v>2</v>
          </cell>
          <cell r="M11">
            <v>2.5</v>
          </cell>
          <cell r="N11">
            <v>4.546237501059192</v>
          </cell>
          <cell r="O11">
            <v>4.337643970035546</v>
          </cell>
          <cell r="P11">
            <v>6.4296159642017363</v>
          </cell>
          <cell r="Q11">
            <v>-4.7</v>
          </cell>
          <cell r="R11">
            <v>-4.7</v>
          </cell>
          <cell r="S11">
            <v>2.4</v>
          </cell>
        </row>
        <row r="12">
          <cell r="A12" t="str">
            <v>#056</v>
          </cell>
          <cell r="B12" t="str">
            <v>ααβ</v>
          </cell>
          <cell r="C12">
            <v>1548.0419999999999</v>
          </cell>
          <cell r="D12">
            <v>18.66</v>
          </cell>
          <cell r="E12">
            <v>0</v>
          </cell>
          <cell r="F12">
            <v>5</v>
          </cell>
          <cell r="G12">
            <v>33.33</v>
          </cell>
          <cell r="H12">
            <v>4</v>
          </cell>
          <cell r="I12">
            <v>2.8000000000000003</v>
          </cell>
          <cell r="J12">
            <v>3.6</v>
          </cell>
          <cell r="K12">
            <v>5.6000000000000005</v>
          </cell>
          <cell r="L12">
            <v>2.2000000000000002</v>
          </cell>
          <cell r="M12">
            <v>3.2000000000000006</v>
          </cell>
          <cell r="N12">
            <v>5.6544285579160087</v>
          </cell>
          <cell r="O12">
            <v>5.3974804958350004</v>
          </cell>
          <cell r="P12">
            <v>4.5360529002402101</v>
          </cell>
          <cell r="Q12">
            <v>44</v>
          </cell>
          <cell r="R12">
            <v>-49.2</v>
          </cell>
          <cell r="S12">
            <v>-21.6</v>
          </cell>
        </row>
        <row r="13">
          <cell r="A13" t="str">
            <v>#057</v>
          </cell>
          <cell r="B13" t="str">
            <v>ααβ</v>
          </cell>
          <cell r="C13">
            <v>1590.123</v>
          </cell>
          <cell r="D13">
            <v>20.85</v>
          </cell>
          <cell r="E13">
            <v>0</v>
          </cell>
          <cell r="F13">
            <v>5</v>
          </cell>
          <cell r="G13">
            <v>33.33</v>
          </cell>
          <cell r="H13">
            <v>2.3333333333333335</v>
          </cell>
          <cell r="I13">
            <v>2</v>
          </cell>
          <cell r="J13">
            <v>2.6666666666666665</v>
          </cell>
          <cell r="K13">
            <v>4.3333333333333339</v>
          </cell>
          <cell r="L13">
            <v>2</v>
          </cell>
          <cell r="M13">
            <v>3.6666666666666665</v>
          </cell>
          <cell r="N13">
            <v>3.8842362691082677</v>
          </cell>
          <cell r="O13">
            <v>4.1585675080185984</v>
          </cell>
          <cell r="P13">
            <v>2.7655347463629774</v>
          </cell>
          <cell r="Q13">
            <v>55.7</v>
          </cell>
          <cell r="R13">
            <v>-46.4</v>
          </cell>
          <cell r="S13">
            <v>-25.8</v>
          </cell>
        </row>
        <row r="14">
          <cell r="A14" t="str">
            <v>#058</v>
          </cell>
          <cell r="B14" t="str">
            <v>ααβ</v>
          </cell>
          <cell r="C14">
            <v>1616.2049999999999</v>
          </cell>
          <cell r="D14">
            <v>22.1</v>
          </cell>
          <cell r="E14">
            <v>0</v>
          </cell>
          <cell r="F14">
            <v>5</v>
          </cell>
          <cell r="G14">
            <v>33.33</v>
          </cell>
          <cell r="H14">
            <v>2.3333333333333335</v>
          </cell>
          <cell r="I14">
            <v>2.3333333333333335</v>
          </cell>
          <cell r="J14">
            <v>2.3333333333333335</v>
          </cell>
          <cell r="K14">
            <v>4</v>
          </cell>
          <cell r="L14">
            <v>3.6666666666666665</v>
          </cell>
          <cell r="M14">
            <v>4.3333333333333339</v>
          </cell>
          <cell r="N14">
            <v>2.7513563921658837</v>
          </cell>
          <cell r="O14">
            <v>3.2700025897517606</v>
          </cell>
          <cell r="P14">
            <v>0.76553474636297703</v>
          </cell>
          <cell r="Q14">
            <v>76.099999999999994</v>
          </cell>
          <cell r="R14">
            <v>-36.5</v>
          </cell>
          <cell r="S14">
            <v>-27.7</v>
          </cell>
        </row>
        <row r="15">
          <cell r="A15" t="str">
            <v>#059</v>
          </cell>
          <cell r="B15" t="str">
            <v>αααβ</v>
          </cell>
          <cell r="C15">
            <v>1534.0150000000001</v>
          </cell>
          <cell r="D15">
            <v>14.92</v>
          </cell>
          <cell r="E15">
            <v>0</v>
          </cell>
          <cell r="F15">
            <v>5</v>
          </cell>
          <cell r="G15">
            <v>25</v>
          </cell>
          <cell r="H15">
            <v>6</v>
          </cell>
          <cell r="I15">
            <v>5.666666666666667</v>
          </cell>
          <cell r="J15">
            <v>6</v>
          </cell>
          <cell r="K15">
            <v>7.666666666666667</v>
          </cell>
          <cell r="L15">
            <v>4.75</v>
          </cell>
          <cell r="M15">
            <v>3.6666666666666665</v>
          </cell>
          <cell r="N15">
            <v>6.9634622171825109</v>
          </cell>
          <cell r="O15">
            <v>6.4925371194936705</v>
          </cell>
          <cell r="P15">
            <v>8.8920873965234826</v>
          </cell>
          <cell r="Q15">
            <v>23.1</v>
          </cell>
          <cell r="R15">
            <v>-48.9</v>
          </cell>
          <cell r="S15">
            <v>-11.3</v>
          </cell>
        </row>
        <row r="16">
          <cell r="A16" t="str">
            <v>#061</v>
          </cell>
          <cell r="B16" t="str">
            <v>αβ</v>
          </cell>
          <cell r="C16">
            <v>1644.259</v>
          </cell>
          <cell r="D16">
            <v>17.75</v>
          </cell>
          <cell r="E16">
            <v>0</v>
          </cell>
          <cell r="F16">
            <v>5</v>
          </cell>
          <cell r="G16">
            <v>50</v>
          </cell>
          <cell r="H16">
            <v>4</v>
          </cell>
          <cell r="I16">
            <v>4.3333333333333339</v>
          </cell>
          <cell r="J16">
            <v>4.666666666666667</v>
          </cell>
          <cell r="K16">
            <v>6.666666666666667</v>
          </cell>
          <cell r="L16">
            <v>2.3333333333333335</v>
          </cell>
          <cell r="M16">
            <v>4</v>
          </cell>
          <cell r="N16">
            <v>2.4423102831456922</v>
          </cell>
          <cell r="O16">
            <v>2.7991044519686374</v>
          </cell>
          <cell r="P16">
            <v>2.2016338611696504</v>
          </cell>
          <cell r="Q16">
            <v>-5</v>
          </cell>
          <cell r="R16">
            <v>1</v>
          </cell>
          <cell r="S16">
            <v>2.5</v>
          </cell>
        </row>
        <row r="17">
          <cell r="A17" t="str">
            <v>#228</v>
          </cell>
          <cell r="B17" t="str">
            <v>αααβ</v>
          </cell>
          <cell r="C17">
            <v>1542.038</v>
          </cell>
          <cell r="D17">
            <v>18.920000000000002</v>
          </cell>
          <cell r="E17">
            <v>2</v>
          </cell>
          <cell r="F17">
            <v>5</v>
          </cell>
          <cell r="G17">
            <v>25</v>
          </cell>
          <cell r="H17">
            <v>3.3333333333333335</v>
          </cell>
          <cell r="I17">
            <v>3.3333333333333335</v>
          </cell>
          <cell r="J17">
            <v>3.6666666666666665</v>
          </cell>
          <cell r="K17">
            <v>5.666666666666667</v>
          </cell>
          <cell r="L17">
            <v>2.6666666666666665</v>
          </cell>
          <cell r="M17">
            <v>3.3333333333333335</v>
          </cell>
          <cell r="N17">
            <v>3.77332579366829</v>
          </cell>
          <cell r="O17">
            <v>3.6490937489357052</v>
          </cell>
          <cell r="P17">
            <v>2.9634741239748865</v>
          </cell>
          <cell r="Q17">
            <v>80.5</v>
          </cell>
          <cell r="R17">
            <v>-37.700000000000003</v>
          </cell>
          <cell r="S17">
            <v>-30.3</v>
          </cell>
        </row>
      </sheetData>
      <sheetData sheetId="1">
        <row r="20">
          <cell r="A20" t="str">
            <v>#231</v>
          </cell>
          <cell r="B20" t="str">
            <v>ααβ</v>
          </cell>
          <cell r="C20">
            <v>1465.94</v>
          </cell>
          <cell r="D20">
            <v>13.95</v>
          </cell>
          <cell r="E20">
            <v>2</v>
          </cell>
          <cell r="F20">
            <v>5</v>
          </cell>
          <cell r="G20">
            <v>33.33</v>
          </cell>
          <cell r="H20">
            <v>6.3333333333333339</v>
          </cell>
          <cell r="I20">
            <v>6.666666666666667</v>
          </cell>
          <cell r="J20">
            <v>6.3333333333333339</v>
          </cell>
          <cell r="K20">
            <v>8</v>
          </cell>
          <cell r="L20">
            <v>5</v>
          </cell>
          <cell r="M20">
            <v>3.3333333333333335</v>
          </cell>
          <cell r="N20">
            <v>8.8494485504556231</v>
          </cell>
          <cell r="O20">
            <v>9.0111985182722041</v>
          </cell>
          <cell r="P20">
            <v>9.5370175303582858</v>
          </cell>
          <cell r="Q20">
            <v>57.1</v>
          </cell>
          <cell r="R20">
            <v>-29.1</v>
          </cell>
          <cell r="S20">
            <v>-16.600000000000001</v>
          </cell>
        </row>
        <row r="21">
          <cell r="A21" t="str">
            <v>#239</v>
          </cell>
          <cell r="B21" t="str">
            <v>ααβ</v>
          </cell>
          <cell r="C21">
            <v>1481.9390000000001</v>
          </cell>
          <cell r="D21">
            <v>15.12</v>
          </cell>
          <cell r="E21">
            <v>2</v>
          </cell>
          <cell r="F21">
            <v>5</v>
          </cell>
          <cell r="G21">
            <v>33.33</v>
          </cell>
          <cell r="H21">
            <v>5.3333333333333339</v>
          </cell>
          <cell r="I21">
            <v>5.3333333333333339</v>
          </cell>
          <cell r="J21">
            <v>5.3333333333333339</v>
          </cell>
          <cell r="K21">
            <v>7</v>
          </cell>
          <cell r="L21">
            <v>4</v>
          </cell>
          <cell r="M21">
            <v>3</v>
          </cell>
          <cell r="N21">
            <v>8.2571900049667324</v>
          </cell>
          <cell r="O21">
            <v>7.8981429053677719</v>
          </cell>
          <cell r="P21">
            <v>9.159451968321493</v>
          </cell>
          <cell r="Q21">
            <v>45.8</v>
          </cell>
          <cell r="R21">
            <v>-43.6</v>
          </cell>
          <cell r="S21">
            <v>-19.899999999999999</v>
          </cell>
        </row>
        <row r="22">
          <cell r="A22" t="str">
            <v>#241</v>
          </cell>
          <cell r="B22" t="str">
            <v>ααβ</v>
          </cell>
          <cell r="C22">
            <v>1481.9390000000001</v>
          </cell>
          <cell r="D22">
            <v>14.45</v>
          </cell>
          <cell r="E22">
            <v>2</v>
          </cell>
          <cell r="F22">
            <v>5</v>
          </cell>
          <cell r="G22">
            <v>33.33</v>
          </cell>
          <cell r="H22">
            <v>6.3333333333333339</v>
          </cell>
          <cell r="I22">
            <v>6.3333333333333339</v>
          </cell>
          <cell r="J22">
            <v>6</v>
          </cell>
          <cell r="K22">
            <v>8</v>
          </cell>
          <cell r="L22">
            <v>4.3333333333333339</v>
          </cell>
          <cell r="M22">
            <v>3.3333333333333335</v>
          </cell>
          <cell r="N22">
            <v>8.2258879122710713</v>
          </cell>
          <cell r="O22">
            <v>8.4711344847468819</v>
          </cell>
          <cell r="P22">
            <v>10.591989273306634</v>
          </cell>
          <cell r="Q22">
            <v>42.6</v>
          </cell>
          <cell r="R22">
            <v>-43.5</v>
          </cell>
          <cell r="S22">
            <v>-18.600000000000001</v>
          </cell>
        </row>
        <row r="23">
          <cell r="A23" t="str">
            <v>#043</v>
          </cell>
          <cell r="B23" t="str">
            <v>ααβαααβ</v>
          </cell>
          <cell r="C23">
            <v>1599.1004</v>
          </cell>
          <cell r="D23">
            <v>23.26</v>
          </cell>
          <cell r="E23">
            <v>1</v>
          </cell>
          <cell r="F23">
            <v>5</v>
          </cell>
          <cell r="G23">
            <v>28.57</v>
          </cell>
          <cell r="H23">
            <v>2.6666666666666665</v>
          </cell>
          <cell r="I23">
            <v>2.3333333333333335</v>
          </cell>
          <cell r="J23">
            <v>2.6666666666666665</v>
          </cell>
          <cell r="K23">
            <v>4</v>
          </cell>
          <cell r="L23">
            <v>2.6666666666666665</v>
          </cell>
          <cell r="M23">
            <v>4.3333333333333339</v>
          </cell>
          <cell r="N23">
            <v>1.8482564930835654</v>
          </cell>
          <cell r="O23">
            <v>2.0507137500416803</v>
          </cell>
          <cell r="P23">
            <v>0.48542682717024171</v>
          </cell>
          <cell r="Q23">
            <v>99</v>
          </cell>
          <cell r="R23">
            <v>-48.7</v>
          </cell>
          <cell r="S23">
            <v>-48.2</v>
          </cell>
        </row>
        <row r="24">
          <cell r="A24" t="str">
            <v>#062</v>
          </cell>
          <cell r="B24" t="str">
            <v>αααβ</v>
          </cell>
          <cell r="C24">
            <v>1601.116</v>
          </cell>
          <cell r="D24">
            <v>21.67</v>
          </cell>
          <cell r="E24">
            <v>0</v>
          </cell>
          <cell r="F24">
            <v>5</v>
          </cell>
          <cell r="G24">
            <v>25</v>
          </cell>
          <cell r="H24">
            <v>2.6666666666666665</v>
          </cell>
          <cell r="I24">
            <v>2.6666666666666665</v>
          </cell>
          <cell r="J24">
            <v>3</v>
          </cell>
          <cell r="K24">
            <v>3.6666666666666665</v>
          </cell>
          <cell r="L24">
            <v>3.3333333333333335</v>
          </cell>
          <cell r="M24">
            <v>4.666666666666667</v>
          </cell>
          <cell r="N24">
            <v>1.8927216543299505</v>
          </cell>
          <cell r="O24">
            <v>2.5432743707309733</v>
          </cell>
          <cell r="P24">
            <v>0.48542682717024171</v>
          </cell>
          <cell r="Q24">
            <v>81.8</v>
          </cell>
          <cell r="R24">
            <v>-51.5</v>
          </cell>
          <cell r="S24">
            <v>-42.1</v>
          </cell>
        </row>
        <row r="25">
          <cell r="A25" t="str">
            <v>#024</v>
          </cell>
          <cell r="B25" t="str">
            <v>αβαβααβ</v>
          </cell>
          <cell r="C25">
            <v>1598.146</v>
          </cell>
          <cell r="D25">
            <v>18.12</v>
          </cell>
          <cell r="E25">
            <v>2</v>
          </cell>
          <cell r="F25">
            <v>5</v>
          </cell>
          <cell r="G25">
            <v>42.86</v>
          </cell>
          <cell r="H25">
            <v>4</v>
          </cell>
          <cell r="I25">
            <v>3</v>
          </cell>
          <cell r="J25">
            <v>4</v>
          </cell>
          <cell r="K25">
            <v>6</v>
          </cell>
          <cell r="L25">
            <v>2.3333333333333335</v>
          </cell>
          <cell r="M25">
            <v>3</v>
          </cell>
          <cell r="N25">
            <v>4.1796604557049486</v>
          </cell>
          <cell r="O25">
            <v>4.2231523549254684</v>
          </cell>
          <cell r="P25">
            <v>6.2555007331483869</v>
          </cell>
          <cell r="Q25">
            <v>18.8</v>
          </cell>
          <cell r="R25">
            <v>-18</v>
          </cell>
          <cell r="S25">
            <v>-10.6</v>
          </cell>
        </row>
        <row r="26">
          <cell r="A26" t="str">
            <v>#049</v>
          </cell>
          <cell r="B26" t="str">
            <v>αβαβααβ</v>
          </cell>
          <cell r="C26">
            <v>1629.1473000000001</v>
          </cell>
          <cell r="D26">
            <v>17.88</v>
          </cell>
          <cell r="E26">
            <v>0</v>
          </cell>
          <cell r="F26">
            <v>5</v>
          </cell>
          <cell r="G26">
            <v>42.86</v>
          </cell>
          <cell r="H26">
            <v>4</v>
          </cell>
          <cell r="I26">
            <v>3</v>
          </cell>
          <cell r="J26">
            <v>4.3333333333333339</v>
          </cell>
          <cell r="K26">
            <v>6</v>
          </cell>
          <cell r="L26">
            <v>8</v>
          </cell>
          <cell r="M26">
            <v>5</v>
          </cell>
          <cell r="N26">
            <v>3.8388139656867271</v>
          </cell>
          <cell r="O26">
            <v>3.8762127767606001</v>
          </cell>
          <cell r="P26">
            <v>5.0312187306107212</v>
          </cell>
          <cell r="Q26">
            <v>5.7</v>
          </cell>
          <cell r="R26">
            <v>2.1</v>
          </cell>
          <cell r="S26">
            <v>-2.9</v>
          </cell>
        </row>
        <row r="27">
          <cell r="A27" t="str">
            <v>#40</v>
          </cell>
          <cell r="B27" t="str">
            <v>ααβαααβ</v>
          </cell>
          <cell r="C27">
            <v>1616.2049999999999</v>
          </cell>
          <cell r="D27">
            <v>21.44</v>
          </cell>
          <cell r="E27">
            <v>0</v>
          </cell>
          <cell r="F27">
            <v>5</v>
          </cell>
          <cell r="G27">
            <v>28.57</v>
          </cell>
          <cell r="H27">
            <v>2.6666666666666665</v>
          </cell>
          <cell r="I27">
            <v>2.6666666666666665</v>
          </cell>
          <cell r="J27">
            <v>3.3333333333333335</v>
          </cell>
          <cell r="K27">
            <v>4</v>
          </cell>
          <cell r="L27">
            <v>3.3333333333333335</v>
          </cell>
          <cell r="M27">
            <v>4.3333333333333339</v>
          </cell>
          <cell r="N27">
            <v>2.0984509295281182</v>
          </cell>
          <cell r="O27">
            <v>2.1705677045331981</v>
          </cell>
          <cell r="P27">
            <v>0.67807190511263782</v>
          </cell>
          <cell r="Q27">
            <v>79.8</v>
          </cell>
          <cell r="R27">
            <v>-43.5</v>
          </cell>
          <cell r="S27">
            <v>-34.700000000000003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CC5A-E6E4-45EF-B96F-286F3A9100BF}">
  <dimension ref="A1:S25"/>
  <sheetViews>
    <sheetView tabSelected="1" workbookViewId="0">
      <selection activeCell="P22" sqref="P22"/>
    </sheetView>
  </sheetViews>
  <sheetFormatPr defaultRowHeight="15" x14ac:dyDescent="0.25"/>
  <sheetData>
    <row r="1" spans="1:19" x14ac:dyDescent="0.25">
      <c r="A1" cm="1">
        <f t="array" ref="A1:S17">'[1]Truncated data'!$A$1:$S$17</f>
        <v>0</v>
      </c>
      <c r="B1" t="str">
        <v>αβ_combination</v>
      </c>
      <c r="C1" t="str">
        <v>MW</v>
      </c>
      <c r="D1" t="str">
        <v>RT</v>
      </c>
      <c r="E1" t="str">
        <v>ACPC</v>
      </c>
      <c r="F1" t="str">
        <v>charge</v>
      </c>
      <c r="G1" t="str">
        <v>ab ratio</v>
      </c>
      <c r="H1" t="str">
        <v>MIC_CA</v>
      </c>
      <c r="I1" t="str">
        <v>MIC_CT</v>
      </c>
      <c r="J1" t="str">
        <v>MIC_CP</v>
      </c>
      <c r="K1" t="str">
        <v>MIC_CG</v>
      </c>
      <c r="L1" t="str">
        <v>MIC_SA</v>
      </c>
      <c r="M1" t="str">
        <v>MIC_EC</v>
      </c>
      <c r="N1" t="str">
        <v>IC50_HUVEC</v>
      </c>
      <c r="O1" t="str">
        <v>IC50_3T3</v>
      </c>
      <c r="P1" t="str">
        <v>HC10</v>
      </c>
      <c r="Q1" t="str">
        <v>Helicity</v>
      </c>
      <c r="R1" t="str">
        <v>ME100</v>
      </c>
      <c r="S1" t="str">
        <v>ME15</v>
      </c>
    </row>
    <row r="2" spans="1:19" x14ac:dyDescent="0.25">
      <c r="A2" t="str">
        <v>#001</v>
      </c>
      <c r="B2" t="str">
        <v>α</v>
      </c>
      <c r="C2">
        <v>1479.787</v>
      </c>
      <c r="D2">
        <v>22.89</v>
      </c>
      <c r="E2">
        <v>0</v>
      </c>
      <c r="F2">
        <v>1</v>
      </c>
      <c r="G2">
        <v>0</v>
      </c>
      <c r="H2">
        <v>6</v>
      </c>
      <c r="I2">
        <v>5.666666666666667</v>
      </c>
      <c r="J2">
        <v>6.666666666666667</v>
      </c>
      <c r="K2">
        <v>7.666666666666667</v>
      </c>
      <c r="L2">
        <v>5.666666666666667</v>
      </c>
      <c r="M2">
        <v>4.666666666666667</v>
      </c>
      <c r="N2">
        <v>6.0145555571813283</v>
      </c>
      <c r="O2">
        <v>5.8101553883631594</v>
      </c>
      <c r="P2">
        <v>5.1292830169449664</v>
      </c>
      <c r="Q2">
        <v>83.5</v>
      </c>
      <c r="R2">
        <v>-23.4</v>
      </c>
      <c r="S2">
        <v>-19.5</v>
      </c>
    </row>
    <row r="3" spans="1:19" x14ac:dyDescent="0.25">
      <c r="A3" t="str">
        <v>#012</v>
      </c>
      <c r="B3" t="str">
        <v>ααβ</v>
      </c>
      <c r="C3">
        <v>1481.9390000000001</v>
      </c>
      <c r="D3">
        <v>16.28</v>
      </c>
      <c r="E3">
        <v>2</v>
      </c>
      <c r="F3">
        <v>5</v>
      </c>
      <c r="G3">
        <v>33.33</v>
      </c>
      <c r="H3">
        <v>4.666666666666667</v>
      </c>
      <c r="I3">
        <v>4</v>
      </c>
      <c r="J3">
        <v>4.666666666666667</v>
      </c>
      <c r="K3">
        <v>6.666666666666667</v>
      </c>
      <c r="L3">
        <v>3.6666666666666665</v>
      </c>
      <c r="M3">
        <v>2.6666666666666665</v>
      </c>
      <c r="N3">
        <v>6.9285302342749526</v>
      </c>
      <c r="O3">
        <v>6.894825195277658</v>
      </c>
      <c r="P3">
        <v>7.7279204545631996</v>
      </c>
      <c r="Q3">
        <v>55.7</v>
      </c>
      <c r="R3">
        <v>-57.1</v>
      </c>
      <c r="S3">
        <v>-31.8</v>
      </c>
    </row>
    <row r="4" spans="1:19" x14ac:dyDescent="0.25">
      <c r="A4" t="str">
        <v>#013</v>
      </c>
      <c r="B4" t="str">
        <v>ααβ</v>
      </c>
      <c r="C4">
        <v>1524.02</v>
      </c>
      <c r="D4">
        <v>18.37</v>
      </c>
      <c r="E4">
        <v>2</v>
      </c>
      <c r="F4">
        <v>5</v>
      </c>
      <c r="G4">
        <v>33.33</v>
      </c>
      <c r="H4">
        <v>3</v>
      </c>
      <c r="I4">
        <v>2.6666666666666665</v>
      </c>
      <c r="J4">
        <v>3.6666666666666665</v>
      </c>
      <c r="K4">
        <v>5.666666666666667</v>
      </c>
      <c r="L4">
        <v>2</v>
      </c>
      <c r="M4">
        <v>2.3333333333333335</v>
      </c>
      <c r="N4">
        <v>4.6641934167216741</v>
      </c>
      <c r="O4">
        <v>4.6644793040409205</v>
      </c>
      <c r="P4">
        <v>5.3680698765320827</v>
      </c>
      <c r="Q4">
        <v>67.5</v>
      </c>
      <c r="R4">
        <v>-58.8</v>
      </c>
      <c r="S4">
        <v>-39.700000000000003</v>
      </c>
    </row>
    <row r="5" spans="1:19" x14ac:dyDescent="0.25">
      <c r="A5" t="str">
        <v>#014</v>
      </c>
      <c r="B5" t="str">
        <v>ααβ</v>
      </c>
      <c r="C5">
        <v>1550.1020000000001</v>
      </c>
      <c r="D5">
        <v>19.45</v>
      </c>
      <c r="E5">
        <v>2</v>
      </c>
      <c r="F5">
        <v>5</v>
      </c>
      <c r="G5">
        <v>33.33</v>
      </c>
      <c r="H5">
        <v>2.3333333333333335</v>
      </c>
      <c r="I5">
        <v>3</v>
      </c>
      <c r="J5">
        <v>3</v>
      </c>
      <c r="K5">
        <v>4.666666666666667</v>
      </c>
      <c r="L5">
        <v>2</v>
      </c>
      <c r="M5">
        <v>4.666666666666667</v>
      </c>
      <c r="N5">
        <v>2.9945497348547261</v>
      </c>
      <c r="O5">
        <v>3.2390771048393145</v>
      </c>
      <c r="P5">
        <v>1.8073549220576042</v>
      </c>
      <c r="Q5">
        <v>88</v>
      </c>
      <c r="R5">
        <v>-44.6</v>
      </c>
      <c r="S5">
        <v>-39.299999999999997</v>
      </c>
    </row>
    <row r="6" spans="1:19" x14ac:dyDescent="0.25">
      <c r="A6" t="str">
        <v>#029</v>
      </c>
      <c r="B6" t="str">
        <v>ααβαααβ</v>
      </c>
      <c r="C6">
        <v>1515.9559999999999</v>
      </c>
      <c r="D6">
        <v>17.18</v>
      </c>
      <c r="E6">
        <v>2</v>
      </c>
      <c r="F6">
        <v>5</v>
      </c>
      <c r="G6">
        <v>28.57</v>
      </c>
      <c r="H6">
        <v>4</v>
      </c>
      <c r="I6">
        <v>3.3333333333333335</v>
      </c>
      <c r="J6">
        <v>3.6666666666666665</v>
      </c>
      <c r="K6">
        <v>6</v>
      </c>
      <c r="L6">
        <v>3.3333333333333335</v>
      </c>
      <c r="M6">
        <v>2.6666666666666665</v>
      </c>
      <c r="N6">
        <v>6.5674963995373687</v>
      </c>
      <c r="O6">
        <v>6.0126818390869285</v>
      </c>
      <c r="P6">
        <v>7.2431739834729507</v>
      </c>
      <c r="Q6">
        <v>51.7</v>
      </c>
      <c r="R6">
        <v>-53.7</v>
      </c>
      <c r="S6">
        <v>-27.7</v>
      </c>
    </row>
    <row r="7" spans="1:19" x14ac:dyDescent="0.25">
      <c r="A7" t="str">
        <v>#029-G1K-p6</v>
      </c>
      <c r="B7" t="str">
        <v>ααβαααβ</v>
      </c>
      <c r="C7">
        <v>1587.079</v>
      </c>
      <c r="D7">
        <v>15.13</v>
      </c>
      <c r="E7">
        <v>2</v>
      </c>
      <c r="F7">
        <v>6</v>
      </c>
      <c r="G7">
        <v>28.57</v>
      </c>
      <c r="H7">
        <v>4.666666666666667</v>
      </c>
      <c r="I7">
        <v>4</v>
      </c>
      <c r="J7">
        <v>4</v>
      </c>
      <c r="K7">
        <v>6.666666666666667</v>
      </c>
      <c r="L7">
        <v>3.3333333333333335</v>
      </c>
      <c r="M7">
        <v>3</v>
      </c>
      <c r="N7">
        <v>6.9333809147285717</v>
      </c>
      <c r="O7">
        <v>5.982090722595931</v>
      </c>
      <c r="P7">
        <v>7.8054214461717573</v>
      </c>
      <c r="Q7">
        <v>46.9</v>
      </c>
      <c r="R7">
        <v>-41.8</v>
      </c>
      <c r="S7">
        <v>-19.600000000000001</v>
      </c>
    </row>
    <row r="8" spans="1:19" x14ac:dyDescent="0.25">
      <c r="A8" t="str">
        <v>#032</v>
      </c>
      <c r="B8" t="str">
        <v>ααβαααβ</v>
      </c>
      <c r="C8">
        <v>1516.896</v>
      </c>
      <c r="D8">
        <v>19.170000000000002</v>
      </c>
      <c r="E8">
        <v>2</v>
      </c>
      <c r="F8">
        <v>3</v>
      </c>
      <c r="G8">
        <v>28.57</v>
      </c>
      <c r="H8">
        <v>5</v>
      </c>
      <c r="I8">
        <v>5</v>
      </c>
      <c r="J8">
        <v>5.3333333333333339</v>
      </c>
      <c r="K8">
        <v>6.666666666666667</v>
      </c>
      <c r="L8">
        <v>4</v>
      </c>
      <c r="M8">
        <v>3</v>
      </c>
      <c r="N8">
        <v>6.6773725194956786</v>
      </c>
      <c r="O8">
        <v>6.6707268834703353</v>
      </c>
      <c r="P8">
        <v>7.1618876823768947</v>
      </c>
      <c r="Q8">
        <v>70.7</v>
      </c>
      <c r="R8">
        <v>-54.2</v>
      </c>
      <c r="S8">
        <v>-38.299999999999997</v>
      </c>
    </row>
    <row r="9" spans="1:19" x14ac:dyDescent="0.25">
      <c r="A9" t="str">
        <v>#035</v>
      </c>
      <c r="B9" t="str">
        <v>ααβαααβ</v>
      </c>
      <c r="C9">
        <v>1502.8689999999999</v>
      </c>
      <c r="D9">
        <v>19.670000000000002</v>
      </c>
      <c r="E9">
        <v>2</v>
      </c>
      <c r="F9">
        <v>3</v>
      </c>
      <c r="G9">
        <v>28.57</v>
      </c>
      <c r="H9">
        <v>4</v>
      </c>
      <c r="I9">
        <v>3.6666666666666665</v>
      </c>
      <c r="J9">
        <v>4.3333333333333339</v>
      </c>
      <c r="K9">
        <v>6.3333333333333339</v>
      </c>
      <c r="L9">
        <v>3</v>
      </c>
      <c r="M9">
        <v>2.3333333333333335</v>
      </c>
      <c r="N9">
        <v>5.7036429389839043</v>
      </c>
      <c r="O9">
        <v>5.4373956814257571</v>
      </c>
      <c r="P9">
        <v>5.5484366246960422</v>
      </c>
      <c r="Q9">
        <v>73.099999999999994</v>
      </c>
      <c r="R9">
        <v>-54.7</v>
      </c>
      <c r="S9">
        <v>-40</v>
      </c>
    </row>
    <row r="10" spans="1:19" x14ac:dyDescent="0.25">
      <c r="A10" t="str">
        <v>#038</v>
      </c>
      <c r="B10" t="str">
        <v>ααβαααβ</v>
      </c>
      <c r="C10">
        <v>1548.0419999999999</v>
      </c>
      <c r="D10">
        <v>16.97</v>
      </c>
      <c r="E10">
        <v>0</v>
      </c>
      <c r="F10">
        <v>5</v>
      </c>
      <c r="G10">
        <v>28.57</v>
      </c>
      <c r="H10">
        <v>4</v>
      </c>
      <c r="I10">
        <v>4.666666666666667</v>
      </c>
      <c r="J10">
        <v>4.666666666666667</v>
      </c>
      <c r="K10">
        <v>6.3333333333333339</v>
      </c>
      <c r="L10">
        <v>2.5</v>
      </c>
      <c r="M10">
        <v>4</v>
      </c>
      <c r="N10">
        <v>5.6765851604554793</v>
      </c>
      <c r="O10">
        <v>4.7248703502845331</v>
      </c>
      <c r="P10">
        <v>5.9886846867721655</v>
      </c>
      <c r="Q10">
        <v>25.4</v>
      </c>
      <c r="R10">
        <v>-50.7</v>
      </c>
      <c r="S10">
        <v>-12.9</v>
      </c>
    </row>
    <row r="11" spans="1:19" x14ac:dyDescent="0.25">
      <c r="A11" t="str">
        <v>#055</v>
      </c>
      <c r="B11" t="str">
        <v>αβ</v>
      </c>
      <c r="C11">
        <v>1618.1769999999999</v>
      </c>
      <c r="D11">
        <v>15.99</v>
      </c>
      <c r="E11">
        <v>0</v>
      </c>
      <c r="F11">
        <v>5</v>
      </c>
      <c r="G11">
        <v>50</v>
      </c>
      <c r="H11">
        <v>6.3333333333333339</v>
      </c>
      <c r="I11">
        <v>4</v>
      </c>
      <c r="J11">
        <v>5.666666666666667</v>
      </c>
      <c r="K11">
        <v>7</v>
      </c>
      <c r="L11">
        <v>2</v>
      </c>
      <c r="M11">
        <v>2.5</v>
      </c>
      <c r="N11">
        <v>4.546237501059192</v>
      </c>
      <c r="O11">
        <v>4.337643970035546</v>
      </c>
      <c r="P11">
        <v>6.4296159642017363</v>
      </c>
      <c r="Q11">
        <v>-4.7</v>
      </c>
      <c r="R11">
        <v>-4.7</v>
      </c>
      <c r="S11">
        <v>2.4</v>
      </c>
    </row>
    <row r="12" spans="1:19" x14ac:dyDescent="0.25">
      <c r="A12" t="str">
        <v>#056</v>
      </c>
      <c r="B12" t="str">
        <v>ααβ</v>
      </c>
      <c r="C12">
        <v>1548.0419999999999</v>
      </c>
      <c r="D12">
        <v>18.66</v>
      </c>
      <c r="E12">
        <v>0</v>
      </c>
      <c r="F12">
        <v>5</v>
      </c>
      <c r="G12">
        <v>33.33</v>
      </c>
      <c r="H12">
        <v>4</v>
      </c>
      <c r="I12">
        <v>2.8000000000000003</v>
      </c>
      <c r="J12">
        <v>3.6</v>
      </c>
      <c r="K12">
        <v>5.6000000000000005</v>
      </c>
      <c r="L12">
        <v>2.2000000000000002</v>
      </c>
      <c r="M12">
        <v>3.2000000000000006</v>
      </c>
      <c r="N12">
        <v>5.6544285579160087</v>
      </c>
      <c r="O12">
        <v>5.3974804958350004</v>
      </c>
      <c r="P12">
        <v>4.5360529002402101</v>
      </c>
      <c r="Q12">
        <v>44</v>
      </c>
      <c r="R12">
        <v>-49.2</v>
      </c>
      <c r="S12">
        <v>-21.6</v>
      </c>
    </row>
    <row r="13" spans="1:19" x14ac:dyDescent="0.25">
      <c r="A13" t="str">
        <v>#057</v>
      </c>
      <c r="B13" t="str">
        <v>ααβ</v>
      </c>
      <c r="C13">
        <v>1590.123</v>
      </c>
      <c r="D13">
        <v>20.85</v>
      </c>
      <c r="E13">
        <v>0</v>
      </c>
      <c r="F13">
        <v>5</v>
      </c>
      <c r="G13">
        <v>33.33</v>
      </c>
      <c r="H13">
        <v>2.3333333333333335</v>
      </c>
      <c r="I13">
        <v>2</v>
      </c>
      <c r="J13">
        <v>2.6666666666666665</v>
      </c>
      <c r="K13">
        <v>4.3333333333333339</v>
      </c>
      <c r="L13">
        <v>2</v>
      </c>
      <c r="M13">
        <v>3.6666666666666665</v>
      </c>
      <c r="N13">
        <v>3.8842362691082677</v>
      </c>
      <c r="O13">
        <v>4.1585675080185984</v>
      </c>
      <c r="P13">
        <v>2.7655347463629774</v>
      </c>
      <c r="Q13">
        <v>55.7</v>
      </c>
      <c r="R13">
        <v>-46.4</v>
      </c>
      <c r="S13">
        <v>-25.8</v>
      </c>
    </row>
    <row r="14" spans="1:19" x14ac:dyDescent="0.25">
      <c r="A14" t="str">
        <v>#058</v>
      </c>
      <c r="B14" t="str">
        <v>ααβ</v>
      </c>
      <c r="C14">
        <v>1616.2049999999999</v>
      </c>
      <c r="D14">
        <v>22.1</v>
      </c>
      <c r="E14">
        <v>0</v>
      </c>
      <c r="F14">
        <v>5</v>
      </c>
      <c r="G14">
        <v>33.33</v>
      </c>
      <c r="H14">
        <v>2.3333333333333335</v>
      </c>
      <c r="I14">
        <v>2.3333333333333335</v>
      </c>
      <c r="J14">
        <v>2.3333333333333335</v>
      </c>
      <c r="K14">
        <v>4</v>
      </c>
      <c r="L14">
        <v>3.6666666666666665</v>
      </c>
      <c r="M14">
        <v>4.3333333333333339</v>
      </c>
      <c r="N14">
        <v>2.7513563921658837</v>
      </c>
      <c r="O14">
        <v>3.2700025897517606</v>
      </c>
      <c r="P14">
        <v>0.76553474636297703</v>
      </c>
      <c r="Q14">
        <v>76.099999999999994</v>
      </c>
      <c r="R14">
        <v>-36.5</v>
      </c>
      <c r="S14">
        <v>-27.7</v>
      </c>
    </row>
    <row r="15" spans="1:19" x14ac:dyDescent="0.25">
      <c r="A15" t="str">
        <v>#059</v>
      </c>
      <c r="B15" t="str">
        <v>αααβ</v>
      </c>
      <c r="C15">
        <v>1534.0150000000001</v>
      </c>
      <c r="D15">
        <v>14.92</v>
      </c>
      <c r="E15">
        <v>0</v>
      </c>
      <c r="F15">
        <v>5</v>
      </c>
      <c r="G15">
        <v>25</v>
      </c>
      <c r="H15">
        <v>6</v>
      </c>
      <c r="I15">
        <v>5.666666666666667</v>
      </c>
      <c r="J15">
        <v>6</v>
      </c>
      <c r="K15">
        <v>7.666666666666667</v>
      </c>
      <c r="L15">
        <v>4.75</v>
      </c>
      <c r="M15">
        <v>3.6666666666666665</v>
      </c>
      <c r="N15">
        <v>6.9634622171825109</v>
      </c>
      <c r="O15">
        <v>6.4925371194936705</v>
      </c>
      <c r="P15">
        <v>8.8920873965234826</v>
      </c>
      <c r="Q15">
        <v>23.1</v>
      </c>
      <c r="R15">
        <v>-48.9</v>
      </c>
      <c r="S15">
        <v>-11.3</v>
      </c>
    </row>
    <row r="16" spans="1:19" x14ac:dyDescent="0.25">
      <c r="A16" t="str">
        <v>#061</v>
      </c>
      <c r="B16" t="str">
        <v>αβ</v>
      </c>
      <c r="C16">
        <v>1644.259</v>
      </c>
      <c r="D16">
        <v>17.75</v>
      </c>
      <c r="E16">
        <v>0</v>
      </c>
      <c r="F16">
        <v>5</v>
      </c>
      <c r="G16">
        <v>50</v>
      </c>
      <c r="H16">
        <v>4</v>
      </c>
      <c r="I16">
        <v>4.3333333333333339</v>
      </c>
      <c r="J16">
        <v>4.666666666666667</v>
      </c>
      <c r="K16">
        <v>6.666666666666667</v>
      </c>
      <c r="L16">
        <v>2.3333333333333335</v>
      </c>
      <c r="M16">
        <v>4</v>
      </c>
      <c r="N16">
        <v>2.4423102831456922</v>
      </c>
      <c r="O16">
        <v>2.7991044519686374</v>
      </c>
      <c r="P16">
        <v>2.2016338611696504</v>
      </c>
      <c r="Q16">
        <v>-5</v>
      </c>
      <c r="R16">
        <v>1</v>
      </c>
      <c r="S16">
        <v>2.5</v>
      </c>
    </row>
    <row r="17" spans="1:19" x14ac:dyDescent="0.25">
      <c r="A17" t="str">
        <v>#228</v>
      </c>
      <c r="B17" t="str">
        <v>αααβ</v>
      </c>
      <c r="C17">
        <v>1542.038</v>
      </c>
      <c r="D17">
        <v>18.920000000000002</v>
      </c>
      <c r="E17">
        <v>2</v>
      </c>
      <c r="F17">
        <v>5</v>
      </c>
      <c r="G17">
        <v>25</v>
      </c>
      <c r="H17">
        <v>3.3333333333333335</v>
      </c>
      <c r="I17">
        <v>3.3333333333333335</v>
      </c>
      <c r="J17">
        <v>3.6666666666666665</v>
      </c>
      <c r="K17">
        <v>5.666666666666667</v>
      </c>
      <c r="L17">
        <v>2.6666666666666665</v>
      </c>
      <c r="M17">
        <v>3.3333333333333335</v>
      </c>
      <c r="N17">
        <v>3.77332579366829</v>
      </c>
      <c r="O17">
        <v>3.6490937489357052</v>
      </c>
      <c r="P17">
        <v>2.9634741239748865</v>
      </c>
      <c r="Q17">
        <v>80.5</v>
      </c>
      <c r="R17">
        <v>-37.700000000000003</v>
      </c>
      <c r="S17">
        <v>-30.3</v>
      </c>
    </row>
    <row r="18" spans="1:19" x14ac:dyDescent="0.25">
      <c r="A18" t="str" cm="1">
        <f t="array" ref="A18:S19">[1]Sheet5!$A$25:$S$26</f>
        <v>#024</v>
      </c>
      <c r="B18" t="str">
        <v>αβαβααβ</v>
      </c>
      <c r="C18">
        <v>1598.146</v>
      </c>
      <c r="D18">
        <v>18.12</v>
      </c>
      <c r="E18">
        <v>2</v>
      </c>
      <c r="F18">
        <v>5</v>
      </c>
      <c r="G18">
        <v>42.86</v>
      </c>
      <c r="H18">
        <v>4</v>
      </c>
      <c r="I18">
        <v>3</v>
      </c>
      <c r="J18">
        <v>4</v>
      </c>
      <c r="K18">
        <v>6</v>
      </c>
      <c r="L18">
        <v>2.3333333333333335</v>
      </c>
      <c r="M18">
        <v>3</v>
      </c>
      <c r="N18">
        <v>4.1796604557049486</v>
      </c>
      <c r="O18">
        <v>4.2231523549254684</v>
      </c>
      <c r="P18">
        <v>6.2555007331483869</v>
      </c>
      <c r="Q18">
        <v>18.8</v>
      </c>
      <c r="R18">
        <v>-18</v>
      </c>
      <c r="S18">
        <v>-10.6</v>
      </c>
    </row>
    <row r="19" spans="1:19" x14ac:dyDescent="0.25">
      <c r="A19" t="str">
        <v>#049</v>
      </c>
      <c r="B19" t="str">
        <v>αβαβααβ</v>
      </c>
      <c r="C19">
        <v>1629.1473000000001</v>
      </c>
      <c r="D19">
        <v>17.88</v>
      </c>
      <c r="E19">
        <v>0</v>
      </c>
      <c r="F19">
        <v>5</v>
      </c>
      <c r="G19">
        <v>42.86</v>
      </c>
      <c r="H19">
        <v>4</v>
      </c>
      <c r="I19">
        <v>3</v>
      </c>
      <c r="J19">
        <v>4.3333333333333339</v>
      </c>
      <c r="K19">
        <v>6</v>
      </c>
      <c r="L19">
        <v>8</v>
      </c>
      <c r="M19">
        <v>5</v>
      </c>
      <c r="N19">
        <v>3.8388139656867271</v>
      </c>
      <c r="O19">
        <v>3.8762127767606001</v>
      </c>
      <c r="P19">
        <v>5.0312187306107212</v>
      </c>
      <c r="Q19">
        <v>5.7</v>
      </c>
      <c r="R19">
        <v>2.1</v>
      </c>
      <c r="S19">
        <v>-2.9</v>
      </c>
    </row>
    <row r="20" spans="1:19" x14ac:dyDescent="0.25">
      <c r="A20" t="str" cm="1">
        <f t="array" ref="A20:S22">[1]Sheet5!$A$20:$S$22</f>
        <v>#231</v>
      </c>
      <c r="B20" t="str">
        <v>ααβ</v>
      </c>
      <c r="C20">
        <v>1465.94</v>
      </c>
      <c r="D20">
        <v>13.95</v>
      </c>
      <c r="E20">
        <v>2</v>
      </c>
      <c r="F20">
        <v>5</v>
      </c>
      <c r="G20">
        <v>33.33</v>
      </c>
      <c r="H20">
        <v>6.3333333333333339</v>
      </c>
      <c r="I20">
        <v>6.666666666666667</v>
      </c>
      <c r="J20">
        <v>6.3333333333333339</v>
      </c>
      <c r="K20">
        <v>8</v>
      </c>
      <c r="L20">
        <v>5</v>
      </c>
      <c r="M20">
        <v>3.3333333333333335</v>
      </c>
      <c r="N20">
        <v>8.8494485504556231</v>
      </c>
      <c r="O20">
        <v>9.0111985182722041</v>
      </c>
      <c r="P20">
        <v>9.5370175303582858</v>
      </c>
      <c r="Q20">
        <v>57.1</v>
      </c>
      <c r="R20">
        <v>-29.1</v>
      </c>
      <c r="S20">
        <v>-16.600000000000001</v>
      </c>
    </row>
    <row r="21" spans="1:19" x14ac:dyDescent="0.25">
      <c r="A21" t="str">
        <v>#239</v>
      </c>
      <c r="B21" t="str">
        <v>ααβ</v>
      </c>
      <c r="C21">
        <v>1481.9390000000001</v>
      </c>
      <c r="D21">
        <v>15.12</v>
      </c>
      <c r="E21">
        <v>2</v>
      </c>
      <c r="F21">
        <v>5</v>
      </c>
      <c r="G21">
        <v>33.33</v>
      </c>
      <c r="H21">
        <v>5.3333333333333339</v>
      </c>
      <c r="I21">
        <v>5.3333333333333339</v>
      </c>
      <c r="J21">
        <v>5.3333333333333339</v>
      </c>
      <c r="K21">
        <v>7</v>
      </c>
      <c r="L21">
        <v>4</v>
      </c>
      <c r="M21">
        <v>3</v>
      </c>
      <c r="N21">
        <v>8.2571900049667324</v>
      </c>
      <c r="O21">
        <v>7.8981429053677719</v>
      </c>
      <c r="P21">
        <v>9.159451968321493</v>
      </c>
      <c r="Q21">
        <v>45.8</v>
      </c>
      <c r="R21">
        <v>-43.6</v>
      </c>
      <c r="S21">
        <v>-19.899999999999999</v>
      </c>
    </row>
    <row r="22" spans="1:19" x14ac:dyDescent="0.25">
      <c r="A22" t="str">
        <v>#241</v>
      </c>
      <c r="B22" t="str">
        <v>ααβ</v>
      </c>
      <c r="C22">
        <v>1481.9390000000001</v>
      </c>
      <c r="D22">
        <v>14.45</v>
      </c>
      <c r="E22">
        <v>2</v>
      </c>
      <c r="F22">
        <v>5</v>
      </c>
      <c r="G22">
        <v>33.33</v>
      </c>
      <c r="H22">
        <v>6.3333333333333339</v>
      </c>
      <c r="I22">
        <v>6.3333333333333339</v>
      </c>
      <c r="J22">
        <v>6</v>
      </c>
      <c r="K22">
        <v>8</v>
      </c>
      <c r="L22">
        <v>4.3333333333333339</v>
      </c>
      <c r="M22">
        <v>3.3333333333333335</v>
      </c>
      <c r="N22">
        <v>8.2258879122710713</v>
      </c>
      <c r="O22">
        <v>8.4711344847468819</v>
      </c>
      <c r="P22">
        <v>10.591989273306634</v>
      </c>
      <c r="Q22">
        <v>42.6</v>
      </c>
      <c r="R22">
        <v>-43.5</v>
      </c>
      <c r="S22">
        <v>-18.600000000000001</v>
      </c>
    </row>
    <row r="23" spans="1:19" x14ac:dyDescent="0.25">
      <c r="A23" t="str" cm="1">
        <f t="array" ref="A23:S24">[1]Sheet5!$A$23:$S$24</f>
        <v>#043</v>
      </c>
      <c r="B23" t="str">
        <v>ααβαααβ</v>
      </c>
      <c r="C23">
        <v>1599.1004</v>
      </c>
      <c r="D23">
        <v>23.26</v>
      </c>
      <c r="E23">
        <v>1</v>
      </c>
      <c r="F23">
        <v>5</v>
      </c>
      <c r="G23">
        <v>28.57</v>
      </c>
      <c r="H23">
        <v>2.6666666666666665</v>
      </c>
      <c r="I23">
        <v>2.3333333333333335</v>
      </c>
      <c r="J23">
        <v>2.6666666666666665</v>
      </c>
      <c r="K23">
        <v>4</v>
      </c>
      <c r="L23">
        <v>2.6666666666666665</v>
      </c>
      <c r="M23">
        <v>4.3333333333333339</v>
      </c>
      <c r="N23">
        <v>1.8482564930835654</v>
      </c>
      <c r="O23">
        <v>2.0507137500416803</v>
      </c>
      <c r="P23">
        <v>0.48542682717024171</v>
      </c>
      <c r="Q23">
        <v>99</v>
      </c>
      <c r="R23">
        <v>-48.7</v>
      </c>
      <c r="S23">
        <v>-48.2</v>
      </c>
    </row>
    <row r="24" spans="1:19" x14ac:dyDescent="0.25">
      <c r="A24" t="str">
        <v>#062</v>
      </c>
      <c r="B24" t="str">
        <v>αααβ</v>
      </c>
      <c r="C24">
        <v>1601.116</v>
      </c>
      <c r="D24">
        <v>21.67</v>
      </c>
      <c r="E24">
        <v>0</v>
      </c>
      <c r="F24">
        <v>5</v>
      </c>
      <c r="G24">
        <v>25</v>
      </c>
      <c r="H24">
        <v>2.6666666666666665</v>
      </c>
      <c r="I24">
        <v>2.6666666666666665</v>
      </c>
      <c r="J24">
        <v>3</v>
      </c>
      <c r="K24">
        <v>3.6666666666666665</v>
      </c>
      <c r="L24">
        <v>3.3333333333333335</v>
      </c>
      <c r="M24">
        <v>4.666666666666667</v>
      </c>
      <c r="N24">
        <v>1.8927216543299505</v>
      </c>
      <c r="O24">
        <v>2.5432743707309733</v>
      </c>
      <c r="P24">
        <v>0.48542682717024171</v>
      </c>
      <c r="Q24">
        <v>81.8</v>
      </c>
      <c r="R24">
        <v>-51.5</v>
      </c>
      <c r="S24">
        <v>-42.1</v>
      </c>
    </row>
    <row r="25" spans="1:19" x14ac:dyDescent="0.25">
      <c r="A25" t="str" cm="1">
        <f t="array" ref="A25:S25">[1]Sheet5!$A$27:$S$27</f>
        <v>#40</v>
      </c>
      <c r="B25" t="str">
        <v>ααβαααβ</v>
      </c>
      <c r="C25">
        <v>1616.2049999999999</v>
      </c>
      <c r="D25">
        <v>21.44</v>
      </c>
      <c r="E25">
        <v>0</v>
      </c>
      <c r="F25">
        <v>5</v>
      </c>
      <c r="G25">
        <v>28.57</v>
      </c>
      <c r="H25">
        <v>2.6666666666666665</v>
      </c>
      <c r="I25">
        <v>2.6666666666666665</v>
      </c>
      <c r="J25">
        <v>3.3333333333333335</v>
      </c>
      <c r="K25">
        <v>4</v>
      </c>
      <c r="L25">
        <v>3.3333333333333335</v>
      </c>
      <c r="M25">
        <v>4.3333333333333339</v>
      </c>
      <c r="N25">
        <v>2.0984509295281182</v>
      </c>
      <c r="O25">
        <v>2.1705677045331981</v>
      </c>
      <c r="P25">
        <v>0.67807190511263782</v>
      </c>
      <c r="Q25">
        <v>79.8</v>
      </c>
      <c r="R25">
        <v>-43.5</v>
      </c>
      <c r="S25">
        <v>-34.700000000000003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</dc:creator>
  <cp:lastModifiedBy>Douglas Chang</cp:lastModifiedBy>
  <dcterms:created xsi:type="dcterms:W3CDTF">2022-11-10T17:05:14Z</dcterms:created>
  <dcterms:modified xsi:type="dcterms:W3CDTF">2023-05-19T23:43:57Z</dcterms:modified>
</cp:coreProperties>
</file>