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wprod-my.sharepoint.com/personal/dhchang2_wisc_edu/Documents/Peptide AMP Prediction Python/"/>
    </mc:Choice>
  </mc:AlternateContent>
  <xr:revisionPtr revIDLastSave="365" documentId="8_{F0085888-347F-42BC-B554-E266ED9323D0}" xr6:coauthVersionLast="47" xr6:coauthVersionMax="47" xr10:uidLastSave="{4508EC0A-FEF8-46C4-8285-58488544235E}"/>
  <bookViews>
    <workbookView xWindow="-120" yWindow="-120" windowWidth="29040" windowHeight="15720" xr2:uid="{D431E4C3-A0AF-43EA-905F-1F77C6C57BEE}"/>
  </bookViews>
  <sheets>
    <sheet name="Truncated data" sheetId="4" r:id="rId1"/>
    <sheet name="Sheet5" sheetId="1" r:id="rId2"/>
    <sheet name="Sheet5 (2)" sheetId="3" r:id="rId3"/>
    <sheet name="Sheet2" sheetId="2" r:id="rId4"/>
  </sheets>
  <externalReferences>
    <externalReference r:id="rId5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" i="2" l="1" a="1"/>
  <c r="O2" i="2" s="1"/>
  <c r="B2" i="2" s="1" a="1"/>
  <c r="B2" i="2" s="1"/>
  <c r="P24" i="1"/>
  <c r="P23" i="1"/>
  <c r="H13" i="1" l="1" a="1"/>
  <c r="A18" i="4" s="1" a="1"/>
  <c r="A18" i="4" s="1"/>
  <c r="P27" i="1"/>
  <c r="H13" i="1" l="1"/>
  <c r="C29" i="3"/>
  <c r="C30" i="3"/>
  <c r="C31" i="3"/>
  <c r="C28" i="3"/>
  <c r="B31" i="3"/>
  <c r="B30" i="3"/>
  <c r="T3" i="3"/>
  <c r="T4" i="3"/>
  <c r="T5" i="3"/>
  <c r="T6" i="3"/>
  <c r="T7" i="3"/>
  <c r="T8" i="3"/>
  <c r="T9" i="3"/>
  <c r="T10" i="3"/>
  <c r="T11" i="3"/>
  <c r="T12" i="3"/>
  <c r="T13" i="3"/>
  <c r="T14" i="3"/>
  <c r="T15" i="3"/>
  <c r="T16" i="3"/>
  <c r="T17" i="3"/>
  <c r="T18" i="3"/>
  <c r="T19" i="3"/>
  <c r="T20" i="3"/>
  <c r="T21" i="3"/>
  <c r="T22" i="3"/>
  <c r="T2" i="3"/>
  <c r="P26" i="1" l="1"/>
  <c r="P25" i="1"/>
  <c r="P51" i="3" l="1"/>
  <c r="T35" i="3"/>
  <c r="T33" i="3"/>
  <c r="S34" i="3"/>
  <c r="T34" i="3"/>
  <c r="S35" i="3"/>
  <c r="S33" i="3"/>
  <c r="K41" i="3"/>
  <c r="K42" i="3"/>
  <c r="K43" i="3"/>
  <c r="P33" i="3"/>
  <c r="P34" i="3"/>
  <c r="P35" i="3"/>
  <c r="P31" i="3"/>
  <c r="P27" i="3"/>
  <c r="P28" i="3"/>
  <c r="P29" i="3"/>
  <c r="H13" i="3" l="1" a="1"/>
  <c r="H6" i="1" a="1"/>
  <c r="H6" i="1" s="1"/>
  <c r="H6" i="3" a="1"/>
  <c r="M31" i="3" l="1"/>
  <c r="H6" i="3"/>
  <c r="H31" i="3" s="1"/>
  <c r="J31" i="3"/>
  <c r="O31" i="3"/>
  <c r="K31" i="3"/>
  <c r="N31" i="3"/>
  <c r="L31" i="3"/>
  <c r="I31" i="3"/>
  <c r="K28" i="3"/>
  <c r="H45" i="3"/>
  <c r="J28" i="3"/>
  <c r="N27" i="3"/>
  <c r="J29" i="3"/>
  <c r="H51" i="3"/>
  <c r="L46" i="3"/>
  <c r="L29" i="3"/>
  <c r="I38" i="3"/>
  <c r="I37" i="3"/>
  <c r="O51" i="3"/>
  <c r="J27" i="3"/>
  <c r="N51" i="3"/>
  <c r="L27" i="3"/>
  <c r="J45" i="3"/>
  <c r="J46" i="3"/>
  <c r="H50" i="3"/>
  <c r="J47" i="3"/>
  <c r="M27" i="3"/>
  <c r="H13" i="3"/>
  <c r="H47" i="3"/>
  <c r="H27" i="3"/>
  <c r="L47" i="3"/>
  <c r="L45" i="3"/>
  <c r="I46" i="3"/>
  <c r="M46" i="3"/>
  <c r="O29" i="3"/>
  <c r="N29" i="3"/>
  <c r="I45" i="3"/>
  <c r="I27" i="3"/>
  <c r="H46" i="3"/>
  <c r="M45" i="3"/>
  <c r="H37" i="3"/>
  <c r="I29" i="3"/>
  <c r="K46" i="3"/>
  <c r="I47" i="3"/>
  <c r="H28" i="3"/>
  <c r="K51" i="3"/>
  <c r="H38" i="3"/>
  <c r="K47" i="3"/>
  <c r="K45" i="3"/>
  <c r="N28" i="3"/>
  <c r="L28" i="3"/>
  <c r="I28" i="3"/>
  <c r="I39" i="3"/>
  <c r="I51" i="3"/>
  <c r="L51" i="3"/>
  <c r="M29" i="3"/>
  <c r="K27" i="3"/>
  <c r="K29" i="3"/>
  <c r="H29" i="3"/>
  <c r="H39" i="3"/>
  <c r="M28" i="3"/>
  <c r="J51" i="3"/>
  <c r="O28" i="3"/>
  <c r="M51" i="3"/>
  <c r="O27" i="3"/>
  <c r="M47" i="3"/>
  <c r="A11" i="4" a="1"/>
  <c r="A11" i="4" s="1"/>
  <c r="H2" i="3" a="1"/>
  <c r="H2" i="3" s="1"/>
  <c r="H2" i="1" a="1"/>
  <c r="H2" i="1" s="1"/>
  <c r="A1" i="4" s="1" a="1"/>
  <c r="A1" i="4" s="1"/>
  <c r="L35" i="3" l="1"/>
  <c r="J34" i="3"/>
  <c r="J35" i="3"/>
  <c r="M34" i="3"/>
  <c r="M35" i="3"/>
  <c r="O34" i="3"/>
  <c r="H33" i="3"/>
  <c r="H34" i="3"/>
  <c r="H35" i="3"/>
  <c r="M33" i="3"/>
  <c r="O33" i="3"/>
  <c r="J33" i="3"/>
  <c r="K33" i="3"/>
  <c r="I35" i="3"/>
  <c r="N33" i="3"/>
  <c r="K34" i="3"/>
  <c r="O35" i="3"/>
  <c r="N34" i="3"/>
  <c r="I33" i="3"/>
  <c r="L33" i="3"/>
  <c r="J39" i="3"/>
  <c r="J43" i="3" s="1"/>
  <c r="K35" i="3"/>
  <c r="I34" i="3"/>
  <c r="N35" i="3"/>
  <c r="L34" i="3"/>
  <c r="J37" i="3"/>
  <c r="J41" i="3" s="1"/>
  <c r="J38" i="3"/>
  <c r="J42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<sst xmlns="http://schemas.openxmlformats.org/spreadsheetml/2006/main" count="191" uniqueCount="78">
  <si>
    <t>αβ_combination</t>
    <phoneticPr fontId="0" type="noConversion"/>
  </si>
  <si>
    <t>MW</t>
  </si>
  <si>
    <t>RT</t>
  </si>
  <si>
    <t>ACPC</t>
    <phoneticPr fontId="0" type="noConversion"/>
  </si>
  <si>
    <t>charge</t>
    <phoneticPr fontId="0" type="noConversion"/>
  </si>
  <si>
    <t>ab ratio</t>
  </si>
  <si>
    <t>MIC_CA</t>
  </si>
  <si>
    <t>MIC_CT</t>
  </si>
  <si>
    <t>MIC_CP</t>
  </si>
  <si>
    <t>MIC_CG</t>
  </si>
  <si>
    <t>MIC_SA</t>
  </si>
  <si>
    <t>MIC_EC</t>
  </si>
  <si>
    <t>IC50_3T3</t>
  </si>
  <si>
    <t>IC50_HUVEC</t>
  </si>
  <si>
    <t>HC10</t>
    <phoneticPr fontId="0" type="noConversion"/>
  </si>
  <si>
    <t>Helicity</t>
  </si>
  <si>
    <t>ME100</t>
  </si>
  <si>
    <t>ME15</t>
  </si>
  <si>
    <t>#001</t>
  </si>
  <si>
    <t>α</t>
  </si>
  <si>
    <t>#012</t>
  </si>
  <si>
    <t>ααβ</t>
  </si>
  <si>
    <t>#013</t>
  </si>
  <si>
    <t>#014</t>
  </si>
  <si>
    <t>#029</t>
  </si>
  <si>
    <t>ααβαααβ</t>
  </si>
  <si>
    <t>#029-G1K-p6</t>
  </si>
  <si>
    <t>#032</t>
  </si>
  <si>
    <t>#035</t>
  </si>
  <si>
    <t>#038</t>
  </si>
  <si>
    <t>#052</t>
  </si>
  <si>
    <t>αβαβααβ</t>
  </si>
  <si>
    <t>#053</t>
  </si>
  <si>
    <t>#055</t>
  </si>
  <si>
    <t>αβ</t>
  </si>
  <si>
    <t>#056</t>
  </si>
  <si>
    <t>#057</t>
  </si>
  <si>
    <t>#058</t>
  </si>
  <si>
    <t>#059</t>
  </si>
  <si>
    <t>αααβ</t>
  </si>
  <si>
    <t>#061</t>
  </si>
  <si>
    <t>#228</t>
  </si>
  <si>
    <t>#231</t>
  </si>
  <si>
    <t>ααβ-wc</t>
  </si>
  <si>
    <t>#239</t>
  </si>
  <si>
    <t>#241</t>
  </si>
  <si>
    <t>#026</t>
  </si>
  <si>
    <t>#054</t>
  </si>
  <si>
    <t>CA_MIC</t>
  </si>
  <si>
    <t>CT</t>
  </si>
  <si>
    <t>CP</t>
  </si>
  <si>
    <t>CG</t>
  </si>
  <si>
    <t>SA</t>
  </si>
  <si>
    <t>EC</t>
  </si>
  <si>
    <t>HUVEC_IC50</t>
  </si>
  <si>
    <t>3T3_IC50</t>
  </si>
  <si>
    <t>HC10 (MyungRyul)</t>
  </si>
  <si>
    <t>Actual Broad Spectrum Selectivity</t>
  </si>
  <si>
    <t>Predicted Selectivity</t>
  </si>
  <si>
    <t>actual</t>
  </si>
  <si>
    <t>predicted</t>
  </si>
  <si>
    <t>error</t>
  </si>
  <si>
    <t>Peptide Number</t>
  </si>
  <si>
    <t>C. albicans</t>
  </si>
  <si>
    <t>C. tropicalis</t>
  </si>
  <si>
    <t>C. parapsilosis</t>
  </si>
  <si>
    <t>C. glabrata</t>
  </si>
  <si>
    <t>S. aureus</t>
  </si>
  <si>
    <t>E. coli</t>
  </si>
  <si>
    <t>#43</t>
  </si>
  <si>
    <t>#62</t>
  </si>
  <si>
    <t>#24</t>
  </si>
  <si>
    <t>#49</t>
  </si>
  <si>
    <t>#049</t>
  </si>
  <si>
    <t>#043</t>
  </si>
  <si>
    <t>#062</t>
  </si>
  <si>
    <t>#024</t>
  </si>
  <si>
    <t>#40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</si>
</sst>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000_ "/>
    <numFmt numFmtId="166" formatCode="0.0"/>
  </numFmts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Times New Roman"/>
      <family val="2"/>
      <charset val="129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2"/>
      <color theme="1"/>
      <name val="Times New Roman"/>
      <family val="1"/>
    </font>
    <font>
      <sz val="10"/>
      <name val="Times New Roman"/>
      <family val="1"/>
    </font>
    <font>
      <b/>
      <sz val="12"/>
      <color rgb="FFFF0000"/>
      <name val="Times New Roman"/>
      <family val="1"/>
    </font>
    <font>
      <i/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2"/>
      <color theme="1"/>
      <name val="Times New Roman"/>
      <family val="1"/>
    </font>
    <font>
      <sz val="1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>
      <alignment vertical="center"/>
    </xf>
  </cellStyleXfs>
  <cellXfs count="32">
    <xf numFmtId="0" fontId="0" fillId="0" borderId="0" xfId="0"/>
    <xf numFmtId="0" fontId="3" fillId="0" borderId="0" xfId="1" applyFont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1" fillId="0" borderId="0" xfId="1" applyFont="1" applyAlignment="1">
      <alignment horizontal="center" vertical="center" wrapText="1"/>
    </xf>
    <xf numFmtId="0" fontId="1" fillId="0" borderId="0" xfId="1" applyFont="1">
      <alignment vertical="center"/>
    </xf>
    <xf numFmtId="0" fontId="1" fillId="0" borderId="0" xfId="0" applyFont="1"/>
    <xf numFmtId="0" fontId="5" fillId="0" borderId="0" xfId="0" applyFont="1" applyAlignment="1">
      <alignment vertical="center"/>
    </xf>
    <xf numFmtId="164" fontId="6" fillId="0" borderId="0" xfId="0" applyNumberFormat="1" applyFont="1" applyAlignment="1">
      <alignment vertical="center"/>
    </xf>
    <xf numFmtId="0" fontId="1" fillId="0" borderId="0" xfId="1" applyFont="1" applyAlignment="1">
      <alignment horizontal="center" vertical="center"/>
    </xf>
    <xf numFmtId="0" fontId="6" fillId="0" borderId="0" xfId="0" applyFont="1" applyAlignment="1">
      <alignment vertical="center"/>
    </xf>
    <xf numFmtId="165" fontId="6" fillId="0" borderId="0" xfId="0" quotePrefix="1" applyNumberFormat="1" applyFont="1" applyAlignment="1">
      <alignment horizontal="right" vertical="center"/>
    </xf>
    <xf numFmtId="0" fontId="5" fillId="0" borderId="0" xfId="0" applyFont="1" applyAlignment="1">
      <alignment horizontal="center" vertical="center"/>
    </xf>
    <xf numFmtId="0" fontId="3" fillId="0" borderId="0" xfId="1" applyFont="1">
      <alignment vertical="center"/>
    </xf>
    <xf numFmtId="0" fontId="3" fillId="2" borderId="0" xfId="1" applyFont="1" applyFill="1">
      <alignment vertical="center"/>
    </xf>
    <xf numFmtId="0" fontId="7" fillId="0" borderId="0" xfId="0" applyFont="1" applyAlignment="1">
      <alignment vertical="center"/>
    </xf>
    <xf numFmtId="166" fontId="1" fillId="0" borderId="0" xfId="0" applyNumberFormat="1" applyFont="1"/>
    <xf numFmtId="0" fontId="8" fillId="0" borderId="0" xfId="1" applyFont="1" applyAlignment="1">
      <alignment horizontal="center" vertical="center"/>
    </xf>
    <xf numFmtId="0" fontId="9" fillId="0" borderId="0" xfId="0" applyFont="1"/>
    <xf numFmtId="0" fontId="9" fillId="0" borderId="0" xfId="1" applyFont="1">
      <alignment vertical="center"/>
    </xf>
    <xf numFmtId="0" fontId="9" fillId="0" borderId="0" xfId="1" applyFont="1" applyAlignment="1">
      <alignment horizontal="center" vertical="center"/>
    </xf>
    <xf numFmtId="0" fontId="10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1" fillId="0" borderId="0" xfId="1" applyFont="1" applyAlignment="1">
      <alignment horizontal="center" vertical="center"/>
    </xf>
    <xf numFmtId="164" fontId="11" fillId="0" borderId="0" xfId="0" applyNumberFormat="1" applyFont="1" applyAlignment="1">
      <alignment vertical="center"/>
    </xf>
    <xf numFmtId="165" fontId="11" fillId="0" borderId="0" xfId="0" quotePrefix="1" applyNumberFormat="1" applyFont="1" applyAlignment="1">
      <alignment horizontal="right" vertical="center"/>
    </xf>
    <xf numFmtId="0" fontId="11" fillId="0" borderId="0" xfId="0" applyFont="1"/>
    <xf numFmtId="0" fontId="11" fillId="0" borderId="0" xfId="1" applyFont="1" applyAlignment="1">
      <alignment horizontal="center" vertical="center" wrapText="1"/>
    </xf>
    <xf numFmtId="0" fontId="11" fillId="0" borderId="0" xfId="1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horizontal="left" vertical="center"/>
    </xf>
    <xf numFmtId="0" fontId="5" fillId="0" borderId="1" xfId="0" applyFont="1" applyBorder="1" applyAlignment="1">
      <alignment vertical="center"/>
    </xf>
  </cellXfs>
  <cellStyles count="2">
    <cellStyle name="Normal" xfId="0" builtinId="0"/>
    <cellStyle name="Normal 2" xfId="1" xr:uid="{2ED15F67-3292-4FD2-BD6F-2BE1510899C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uwprod-my.sharepoint.com/personal/dhchang2_wisc_edu/Documents/Broad%20Spectrum%20data/Analysis%20related%20excel/Cleaned%20up%20master%20data%20sheet%20for%20MIC%20selectivity.xlsx" TargetMode="External"/><Relationship Id="rId1" Type="http://schemas.openxmlformats.org/officeDocument/2006/relationships/externalLinkPath" Target="/personal/dhchang2_wisc_edu/Documents/Broad%20Spectrum%20data/Analysis%20related%20excel/Cleaned%20up%20master%20data%20sheet%20for%20MIC%20selectivit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nal Compiled data (AvgMIC)"/>
      <sheetName val="Final Compiled data (geomean)"/>
      <sheetName val="Final Compiled data"/>
      <sheetName val="CA MIC"/>
      <sheetName val="CT MIC"/>
      <sheetName val="CP MIC"/>
      <sheetName val="CG MIC"/>
      <sheetName val="SA MIC"/>
      <sheetName val="3T3 IC90"/>
      <sheetName val="EC MIC"/>
      <sheetName val="HUVEC IC50"/>
      <sheetName val="3T3 IC50"/>
      <sheetName val="HUVEC IC90"/>
    </sheetNames>
    <sheetDataSet>
      <sheetData sheetId="0"/>
      <sheetData sheetId="1">
        <row r="2">
          <cell r="D2">
            <v>64</v>
          </cell>
          <cell r="E2">
            <v>50.79683366298238</v>
          </cell>
          <cell r="F2">
            <v>101.59366732596476</v>
          </cell>
          <cell r="G2">
            <v>203.18733465192952</v>
          </cell>
          <cell r="H2">
            <v>50.79683366298238</v>
          </cell>
          <cell r="I2">
            <v>25.39841683149119</v>
          </cell>
          <cell r="J2">
            <v>64.648973467231585</v>
          </cell>
          <cell r="K2">
            <v>56.108809150617915</v>
          </cell>
        </row>
        <row r="3">
          <cell r="D3">
            <v>25.39841683149119</v>
          </cell>
          <cell r="E3">
            <v>16</v>
          </cell>
          <cell r="F3">
            <v>25.39841683149119</v>
          </cell>
          <cell r="G3">
            <v>101.59366732596476</v>
          </cell>
          <cell r="H3">
            <v>12.699208415745595</v>
          </cell>
          <cell r="I3">
            <v>6.3496042078727974</v>
          </cell>
          <cell r="J3">
            <v>121.81350130825454</v>
          </cell>
          <cell r="K3">
            <v>119.00061302399251</v>
          </cell>
        </row>
        <row r="4">
          <cell r="D4">
            <v>8</v>
          </cell>
          <cell r="E4">
            <v>6.3496042078727974</v>
          </cell>
          <cell r="F4">
            <v>12.699208415745595</v>
          </cell>
          <cell r="G4">
            <v>50.79683366298238</v>
          </cell>
          <cell r="H4">
            <v>4</v>
          </cell>
          <cell r="I4">
            <v>5.0396841995794928</v>
          </cell>
          <cell r="J4">
            <v>25.354912959981661</v>
          </cell>
          <cell r="K4">
            <v>25.359937837825637</v>
          </cell>
        </row>
        <row r="5">
          <cell r="D5">
            <v>5.0396841995794928</v>
          </cell>
          <cell r="E5">
            <v>8</v>
          </cell>
          <cell r="F5">
            <v>8</v>
          </cell>
          <cell r="G5">
            <v>25.39841683149119</v>
          </cell>
          <cell r="H5">
            <v>4</v>
          </cell>
          <cell r="I5">
            <v>25.39841683149119</v>
          </cell>
          <cell r="J5">
            <v>7.9698343290048337</v>
          </cell>
          <cell r="K5">
            <v>9.4418993555348205</v>
          </cell>
        </row>
        <row r="6">
          <cell r="D6">
            <v>64</v>
          </cell>
          <cell r="E6">
            <v>64</v>
          </cell>
          <cell r="F6">
            <v>256</v>
          </cell>
          <cell r="G6">
            <v>256</v>
          </cell>
          <cell r="H6">
            <v>128</v>
          </cell>
          <cell r="I6">
            <v>64</v>
          </cell>
          <cell r="J6">
            <v>100.75274571896648</v>
          </cell>
          <cell r="K6">
            <v>106.3412529190154</v>
          </cell>
        </row>
        <row r="7">
          <cell r="D7">
            <v>16</v>
          </cell>
          <cell r="E7">
            <v>10.079368399158986</v>
          </cell>
          <cell r="F7">
            <v>12.699208415745595</v>
          </cell>
          <cell r="G7">
            <v>64</v>
          </cell>
          <cell r="H7">
            <v>10.079368399158986</v>
          </cell>
          <cell r="I7">
            <v>6.3496042078727974</v>
          </cell>
          <cell r="J7">
            <v>94.844775454560732</v>
          </cell>
          <cell r="K7">
            <v>64.565064311193197</v>
          </cell>
        </row>
        <row r="8">
          <cell r="D8">
            <v>25.39841683149119</v>
          </cell>
          <cell r="E8">
            <v>16</v>
          </cell>
          <cell r="F8">
            <v>16</v>
          </cell>
          <cell r="G8">
            <v>101.59366732596476</v>
          </cell>
          <cell r="H8">
            <v>10.079368399158986</v>
          </cell>
          <cell r="I8">
            <v>8</v>
          </cell>
          <cell r="J8">
            <v>122.2237562847607</v>
          </cell>
          <cell r="K8">
            <v>63.210429939255903</v>
          </cell>
        </row>
        <row r="9">
          <cell r="D9">
            <v>32</v>
          </cell>
          <cell r="E9">
            <v>32</v>
          </cell>
          <cell r="F9">
            <v>40.317473596635942</v>
          </cell>
          <cell r="G9">
            <v>101.59366732596476</v>
          </cell>
          <cell r="H9">
            <v>16</v>
          </cell>
          <cell r="I9">
            <v>8</v>
          </cell>
          <cell r="J9">
            <v>102.35037084845538</v>
          </cell>
          <cell r="K9">
            <v>101.87998792229351</v>
          </cell>
        </row>
        <row r="10">
          <cell r="D10">
            <v>16</v>
          </cell>
          <cell r="E10">
            <v>12.699208415745595</v>
          </cell>
          <cell r="F10">
            <v>20.158736798317971</v>
          </cell>
          <cell r="G10">
            <v>80.634947193271884</v>
          </cell>
          <cell r="H10">
            <v>8</v>
          </cell>
          <cell r="I10">
            <v>5.0396841995794928</v>
          </cell>
          <cell r="J10">
            <v>52.115584050139056</v>
          </cell>
          <cell r="K10">
            <v>43.333044057502121</v>
          </cell>
        </row>
        <row r="11">
          <cell r="D11">
            <v>16</v>
          </cell>
          <cell r="E11">
            <v>25.39841683149119</v>
          </cell>
          <cell r="F11">
            <v>25.39841683149119</v>
          </cell>
          <cell r="G11">
            <v>80.634947193271884</v>
          </cell>
          <cell r="H11">
            <v>5.6568542494923797</v>
          </cell>
          <cell r="I11">
            <v>16</v>
          </cell>
          <cell r="J11">
            <v>51.147263895005018</v>
          </cell>
          <cell r="K11">
            <v>26.444033645771732</v>
          </cell>
        </row>
        <row r="12">
          <cell r="D12">
            <v>256</v>
          </cell>
          <cell r="E12">
            <v>161.26989438654377</v>
          </cell>
          <cell r="F12">
            <v>161.26989438654377</v>
          </cell>
          <cell r="G12">
            <v>203.18733465192952</v>
          </cell>
          <cell r="H12">
            <v>256</v>
          </cell>
          <cell r="I12">
            <v>256</v>
          </cell>
          <cell r="J12">
            <v>256</v>
          </cell>
          <cell r="K12">
            <v>128</v>
          </cell>
        </row>
        <row r="13">
          <cell r="D13">
            <v>128</v>
          </cell>
          <cell r="E13">
            <v>64</v>
          </cell>
          <cell r="F13">
            <v>128</v>
          </cell>
          <cell r="G13">
            <v>256</v>
          </cell>
          <cell r="H13">
            <v>256</v>
          </cell>
          <cell r="I13">
            <v>16</v>
          </cell>
          <cell r="J13">
            <v>68.748448468925204</v>
          </cell>
          <cell r="K13">
            <v>117.653187299858</v>
          </cell>
        </row>
        <row r="14">
          <cell r="D14">
            <v>256</v>
          </cell>
          <cell r="E14">
            <v>256</v>
          </cell>
          <cell r="F14">
            <v>256</v>
          </cell>
          <cell r="G14">
            <v>256</v>
          </cell>
          <cell r="H14">
            <v>161.26989438654377</v>
          </cell>
          <cell r="I14">
            <v>80.634947193271884</v>
          </cell>
          <cell r="J14">
            <v>122.50090168014327</v>
          </cell>
          <cell r="K14">
            <v>128</v>
          </cell>
        </row>
        <row r="15">
          <cell r="D15">
            <v>80.634947193271884</v>
          </cell>
          <cell r="E15">
            <v>16</v>
          </cell>
          <cell r="F15">
            <v>50.79683366298238</v>
          </cell>
          <cell r="G15">
            <v>128</v>
          </cell>
          <cell r="H15">
            <v>4</v>
          </cell>
          <cell r="I15">
            <v>5.6568542494923797</v>
          </cell>
          <cell r="J15">
            <v>23.364358169057173</v>
          </cell>
          <cell r="K15">
            <v>20.219059276489546</v>
          </cell>
        </row>
        <row r="16">
          <cell r="D16">
            <v>16</v>
          </cell>
          <cell r="E16">
            <v>6.964404506368993</v>
          </cell>
          <cell r="F16">
            <v>12.125732532083184</v>
          </cell>
          <cell r="G16">
            <v>48.502930128332736</v>
          </cell>
          <cell r="H16">
            <v>4.5947934199881404</v>
          </cell>
          <cell r="I16">
            <v>9.1895868399762808</v>
          </cell>
          <cell r="J16">
            <v>50.36775620950624</v>
          </cell>
          <cell r="K16">
            <v>42.150577600896035</v>
          </cell>
        </row>
        <row r="17">
          <cell r="D17">
            <v>5.0396841995794928</v>
          </cell>
          <cell r="E17">
            <v>4</v>
          </cell>
          <cell r="F17">
            <v>6.3496042078727974</v>
          </cell>
          <cell r="G17">
            <v>20.158736798317971</v>
          </cell>
          <cell r="H17">
            <v>4</v>
          </cell>
          <cell r="I17">
            <v>12.699208415745595</v>
          </cell>
          <cell r="J17">
            <v>14.766297950233303</v>
          </cell>
          <cell r="K17">
            <v>17.858852851588704</v>
          </cell>
        </row>
        <row r="18">
          <cell r="D18">
            <v>5.0396841995794928</v>
          </cell>
          <cell r="E18">
            <v>5.0396841995794928</v>
          </cell>
          <cell r="F18">
            <v>5.0396841995794928</v>
          </cell>
          <cell r="G18">
            <v>16</v>
          </cell>
          <cell r="H18">
            <v>12.699208415745595</v>
          </cell>
          <cell r="I18">
            <v>20.158736798317971</v>
          </cell>
          <cell r="J18">
            <v>6.7334990440949412</v>
          </cell>
          <cell r="K18">
            <v>9.6464799377053669</v>
          </cell>
        </row>
        <row r="19">
          <cell r="D19">
            <v>64</v>
          </cell>
          <cell r="E19">
            <v>50.79683366298238</v>
          </cell>
          <cell r="F19">
            <v>64</v>
          </cell>
          <cell r="G19">
            <v>203.18733465192952</v>
          </cell>
          <cell r="H19">
            <v>26.908685288118864</v>
          </cell>
          <cell r="I19">
            <v>12.699208415745595</v>
          </cell>
          <cell r="J19">
            <v>124.79897000993672</v>
          </cell>
          <cell r="K19">
            <v>90.042681702991757</v>
          </cell>
        </row>
        <row r="20">
          <cell r="D20">
            <v>16</v>
          </cell>
          <cell r="E20">
            <v>20.158736798317971</v>
          </cell>
          <cell r="F20">
            <v>25.39841683149119</v>
          </cell>
          <cell r="G20">
            <v>101.59366732596476</v>
          </cell>
          <cell r="H20">
            <v>5.0396841995794928</v>
          </cell>
          <cell r="I20">
            <v>16</v>
          </cell>
          <cell r="J20">
            <v>5.435113952718897</v>
          </cell>
          <cell r="K20">
            <v>6.9600827175060571</v>
          </cell>
        </row>
        <row r="21">
          <cell r="D21">
            <v>10.079368399158986</v>
          </cell>
          <cell r="E21">
            <v>10.079368399158986</v>
          </cell>
          <cell r="F21">
            <v>12.699208415745595</v>
          </cell>
          <cell r="G21">
            <v>50.79683366298238</v>
          </cell>
          <cell r="H21">
            <v>6.3496042078727974</v>
          </cell>
          <cell r="I21">
            <v>10.079368399158986</v>
          </cell>
          <cell r="J21">
            <v>13.673643328257528</v>
          </cell>
          <cell r="K21">
            <v>12.545462465589063</v>
          </cell>
        </row>
        <row r="22">
          <cell r="D22">
            <v>80.634947193271884</v>
          </cell>
          <cell r="E22">
            <v>101.59366732596476</v>
          </cell>
          <cell r="F22">
            <v>80.634947193271884</v>
          </cell>
          <cell r="G22">
            <v>256</v>
          </cell>
          <cell r="H22">
            <v>32</v>
          </cell>
          <cell r="I22">
            <v>10.079368399158986</v>
          </cell>
          <cell r="J22">
            <v>461.26389163109673</v>
          </cell>
          <cell r="K22">
            <v>515.98972185954847</v>
          </cell>
        </row>
        <row r="23">
          <cell r="D23">
            <v>40.317473596635942</v>
          </cell>
          <cell r="E23">
            <v>40.317473596635942</v>
          </cell>
          <cell r="F23">
            <v>40.317473596635942</v>
          </cell>
          <cell r="G23">
            <v>128</v>
          </cell>
          <cell r="H23">
            <v>16</v>
          </cell>
          <cell r="I23">
            <v>8</v>
          </cell>
          <cell r="J23">
            <v>305.95804089445511</v>
          </cell>
          <cell r="K23">
            <v>238.54917809005542</v>
          </cell>
        </row>
        <row r="24">
          <cell r="D24">
            <v>80.634947193271884</v>
          </cell>
          <cell r="E24">
            <v>80.634947193271884</v>
          </cell>
          <cell r="F24">
            <v>64</v>
          </cell>
          <cell r="G24">
            <v>256</v>
          </cell>
          <cell r="H24">
            <v>20.158736798317971</v>
          </cell>
          <cell r="I24">
            <v>10.079368399158986</v>
          </cell>
          <cell r="J24">
            <v>299.39118040688982</v>
          </cell>
          <cell r="K24">
            <v>354.86696907560906</v>
          </cell>
        </row>
        <row r="25">
          <cell r="D25">
            <v>6.3496042078727974</v>
          </cell>
          <cell r="E25">
            <v>5.0396841995794928</v>
          </cell>
          <cell r="F25">
            <v>6.3496042078727974</v>
          </cell>
          <cell r="G25">
            <v>16</v>
          </cell>
          <cell r="H25">
            <v>6.3496042078727974</v>
          </cell>
          <cell r="I25">
            <v>20.158736798317971</v>
          </cell>
          <cell r="J25">
            <v>3.6006478122927423</v>
          </cell>
          <cell r="K25">
            <v>4.1431089245544817</v>
          </cell>
        </row>
        <row r="26">
          <cell r="D26">
            <v>6.3496042078727974</v>
          </cell>
          <cell r="E26">
            <v>6.3496042078727974</v>
          </cell>
          <cell r="F26">
            <v>8</v>
          </cell>
          <cell r="G26">
            <v>12.699208415745595</v>
          </cell>
          <cell r="H26">
            <v>10.079368399158986</v>
          </cell>
          <cell r="I26">
            <v>25.39841683149119</v>
          </cell>
          <cell r="J26">
            <v>3.7133509065486519</v>
          </cell>
          <cell r="K26">
            <v>5.8291049252708769</v>
          </cell>
        </row>
        <row r="27">
          <cell r="D27">
            <v>16</v>
          </cell>
          <cell r="E27">
            <v>8</v>
          </cell>
          <cell r="F27">
            <v>16</v>
          </cell>
          <cell r="G27">
            <v>64</v>
          </cell>
          <cell r="H27">
            <v>5.0396841995794928</v>
          </cell>
          <cell r="I27">
            <v>8</v>
          </cell>
          <cell r="J27">
            <v>18.121876603552469</v>
          </cell>
          <cell r="K27">
            <v>18.67650184548561</v>
          </cell>
        </row>
        <row r="28">
          <cell r="D28">
            <v>16</v>
          </cell>
          <cell r="E28">
            <v>8</v>
          </cell>
          <cell r="F28">
            <v>20.158736798317971</v>
          </cell>
          <cell r="G28">
            <v>64</v>
          </cell>
          <cell r="H28">
            <v>256</v>
          </cell>
          <cell r="I28">
            <v>32</v>
          </cell>
          <cell r="J28">
            <v>14.308633223324348</v>
          </cell>
          <cell r="K28">
            <v>14.684403695543544</v>
          </cell>
        </row>
        <row r="29">
          <cell r="D29">
            <v>6.3496042078727974</v>
          </cell>
          <cell r="E29">
            <v>6.3496042078727974</v>
          </cell>
          <cell r="F29">
            <v>10.079368399158986</v>
          </cell>
          <cell r="G29">
            <v>16</v>
          </cell>
          <cell r="H29">
            <v>10.079368399158986</v>
          </cell>
          <cell r="I29">
            <v>20.158736798317971</v>
          </cell>
          <cell r="J29">
            <v>4.2824931228658487</v>
          </cell>
          <cell r="K29">
            <v>4.5020051418592226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B3EE62-8F2F-4A64-8F08-84B83E3B63EF}">
  <dimension ref="A1:S19"/>
  <sheetViews>
    <sheetView tabSelected="1" workbookViewId="0">
      <selection activeCell="H24" sqref="H24"/>
    </sheetView>
  </sheetViews>
  <sheetFormatPr defaultRowHeight="15"/>
  <sheetData>
    <row r="1" spans="1:19">
      <c r="A1" cm="1">
        <f t="array" ref="A1:S10">Sheet5!A1:S10</f>
        <v>0</v>
      </c>
      <c r="B1" t="str">
        <v>αβ_combination</v>
      </c>
      <c r="C1" t="str">
        <v>MW</v>
      </c>
      <c r="D1" t="str">
        <v>RT</v>
      </c>
      <c r="E1" t="str">
        <v>ACPC</v>
      </c>
      <c r="F1" t="str">
        <v>charge</v>
      </c>
      <c r="G1" t="str">
        <v>ab ratio</v>
      </c>
      <c r="H1" t="str">
        <v>MIC_CA</v>
      </c>
      <c r="I1" t="str">
        <v>MIC_CT</v>
      </c>
      <c r="J1" t="str">
        <v>MIC_CP</v>
      </c>
      <c r="K1" t="str">
        <v>MIC_CG</v>
      </c>
      <c r="L1" t="str">
        <v>MIC_SA</v>
      </c>
      <c r="M1" t="str">
        <v>MIC_EC</v>
      </c>
      <c r="N1" t="str">
        <v>IC50_HUVEC</v>
      </c>
      <c r="O1" t="str">
        <v>IC50_3T3</v>
      </c>
      <c r="P1" t="str">
        <v>HC10</v>
      </c>
      <c r="Q1" t="str">
        <v>Helicity</v>
      </c>
      <c r="R1" t="str">
        <v>ME100</v>
      </c>
      <c r="S1" t="str">
        <v>ME15</v>
      </c>
    </row>
    <row r="2" spans="1:19">
      <c r="A2" t="str">
        <v>#001</v>
      </c>
      <c r="B2" t="str">
        <v>α</v>
      </c>
      <c r="C2">
        <v>1479.787</v>
      </c>
      <c r="D2">
        <v>22.89</v>
      </c>
      <c r="E2">
        <v>0</v>
      </c>
      <c r="F2">
        <v>1</v>
      </c>
      <c r="G2">
        <v>0</v>
      </c>
      <c r="H2">
        <v>6</v>
      </c>
      <c r="I2">
        <v>5.666666666666667</v>
      </c>
      <c r="J2">
        <v>6.666666666666667</v>
      </c>
      <c r="K2">
        <v>7.666666666666667</v>
      </c>
      <c r="L2">
        <v>5.666666666666667</v>
      </c>
      <c r="M2">
        <v>4.666666666666667</v>
      </c>
      <c r="N2">
        <v>6.0145555571813283</v>
      </c>
      <c r="O2">
        <v>5.8101553883631594</v>
      </c>
      <c r="P2">
        <v>5.1292830169449664</v>
      </c>
      <c r="Q2">
        <v>83.5</v>
      </c>
      <c r="R2">
        <v>-23.4</v>
      </c>
      <c r="S2">
        <v>-19.5</v>
      </c>
    </row>
    <row r="3" spans="1:19">
      <c r="A3" t="str">
        <v>#012</v>
      </c>
      <c r="B3" t="str">
        <v>ααβ</v>
      </c>
      <c r="C3">
        <v>1481.9390000000001</v>
      </c>
      <c r="D3">
        <v>16.28</v>
      </c>
      <c r="E3">
        <v>2</v>
      </c>
      <c r="F3">
        <v>5</v>
      </c>
      <c r="G3">
        <v>33.33</v>
      </c>
      <c r="H3">
        <v>4.666666666666667</v>
      </c>
      <c r="I3">
        <v>4</v>
      </c>
      <c r="J3">
        <v>4.666666666666667</v>
      </c>
      <c r="K3">
        <v>6.666666666666667</v>
      </c>
      <c r="L3">
        <v>3.6666666666666665</v>
      </c>
      <c r="M3">
        <v>2.6666666666666665</v>
      </c>
      <c r="N3">
        <v>6.9285302342749526</v>
      </c>
      <c r="O3">
        <v>6.894825195277658</v>
      </c>
      <c r="P3">
        <v>7.7279204545631996</v>
      </c>
      <c r="Q3">
        <v>55.7</v>
      </c>
      <c r="R3">
        <v>-57.1</v>
      </c>
      <c r="S3">
        <v>-31.8</v>
      </c>
    </row>
    <row r="4" spans="1:19">
      <c r="A4" t="str">
        <v>#013</v>
      </c>
      <c r="B4" t="str">
        <v>ααβ</v>
      </c>
      <c r="C4">
        <v>1524.02</v>
      </c>
      <c r="D4">
        <v>18.37</v>
      </c>
      <c r="E4">
        <v>2</v>
      </c>
      <c r="F4">
        <v>5</v>
      </c>
      <c r="G4">
        <v>33.33</v>
      </c>
      <c r="H4">
        <v>3</v>
      </c>
      <c r="I4">
        <v>2.6666666666666665</v>
      </c>
      <c r="J4">
        <v>3.6666666666666665</v>
      </c>
      <c r="K4">
        <v>5.666666666666667</v>
      </c>
      <c r="L4">
        <v>2</v>
      </c>
      <c r="M4">
        <v>2.3333333333333335</v>
      </c>
      <c r="N4">
        <v>4.6641934167216741</v>
      </c>
      <c r="O4">
        <v>4.6644793040409205</v>
      </c>
      <c r="P4">
        <v>5.3680698765320827</v>
      </c>
      <c r="Q4">
        <v>67.5</v>
      </c>
      <c r="R4">
        <v>-58.8</v>
      </c>
      <c r="S4">
        <v>-39.700000000000003</v>
      </c>
    </row>
    <row r="5" spans="1:19">
      <c r="A5" t="str">
        <v>#014</v>
      </c>
      <c r="B5" t="str">
        <v>ααβ</v>
      </c>
      <c r="C5">
        <v>1550.1020000000001</v>
      </c>
      <c r="D5">
        <v>19.45</v>
      </c>
      <c r="E5">
        <v>2</v>
      </c>
      <c r="F5">
        <v>5</v>
      </c>
      <c r="G5">
        <v>33.33</v>
      </c>
      <c r="H5">
        <v>2.3333333333333335</v>
      </c>
      <c r="I5">
        <v>3</v>
      </c>
      <c r="J5">
        <v>3</v>
      </c>
      <c r="K5">
        <v>4.666666666666667</v>
      </c>
      <c r="L5">
        <v>2</v>
      </c>
      <c r="M5">
        <v>4.666666666666667</v>
      </c>
      <c r="N5">
        <v>2.9945497348547261</v>
      </c>
      <c r="O5">
        <v>3.2390771048393145</v>
      </c>
      <c r="P5">
        <v>1.8073549220576042</v>
      </c>
      <c r="Q5">
        <v>88</v>
      </c>
      <c r="R5">
        <v>-44.6</v>
      </c>
      <c r="S5">
        <v>-39.299999999999997</v>
      </c>
    </row>
    <row r="6" spans="1:19">
      <c r="A6" t="str">
        <v>#029</v>
      </c>
      <c r="B6" t="str">
        <v>ααβαααβ</v>
      </c>
      <c r="C6">
        <v>1515.9559999999999</v>
      </c>
      <c r="D6">
        <v>17.18</v>
      </c>
      <c r="E6">
        <v>2</v>
      </c>
      <c r="F6">
        <v>5</v>
      </c>
      <c r="G6">
        <v>28.57</v>
      </c>
      <c r="H6">
        <v>4</v>
      </c>
      <c r="I6">
        <v>3.3333333333333335</v>
      </c>
      <c r="J6">
        <v>3.6666666666666665</v>
      </c>
      <c r="K6">
        <v>6</v>
      </c>
      <c r="L6">
        <v>3.3333333333333335</v>
      </c>
      <c r="M6">
        <v>2.6666666666666665</v>
      </c>
      <c r="N6">
        <v>6.5674963995373687</v>
      </c>
      <c r="O6">
        <v>6.0126818390869285</v>
      </c>
      <c r="P6">
        <v>7.2431739834729507</v>
      </c>
      <c r="Q6">
        <v>51.7</v>
      </c>
      <c r="R6">
        <v>-53.7</v>
      </c>
      <c r="S6">
        <v>-27.7</v>
      </c>
    </row>
    <row r="7" spans="1:19">
      <c r="A7" t="str">
        <v>#029-G1K-p6</v>
      </c>
      <c r="B7" t="str">
        <v>ααβαααβ</v>
      </c>
      <c r="C7">
        <v>1587.079</v>
      </c>
      <c r="D7">
        <v>15.13</v>
      </c>
      <c r="E7">
        <v>2</v>
      </c>
      <c r="F7">
        <v>6</v>
      </c>
      <c r="G7">
        <v>28.57</v>
      </c>
      <c r="H7">
        <v>4.666666666666667</v>
      </c>
      <c r="I7">
        <v>4</v>
      </c>
      <c r="J7">
        <v>4</v>
      </c>
      <c r="K7">
        <v>6.666666666666667</v>
      </c>
      <c r="L7">
        <v>3.3333333333333335</v>
      </c>
      <c r="M7">
        <v>3</v>
      </c>
      <c r="N7">
        <v>6.9333809147285717</v>
      </c>
      <c r="O7">
        <v>5.982090722595931</v>
      </c>
      <c r="P7">
        <v>7.8054214461717573</v>
      </c>
      <c r="Q7">
        <v>46.9</v>
      </c>
      <c r="R7">
        <v>-41.8</v>
      </c>
      <c r="S7">
        <v>-19.600000000000001</v>
      </c>
    </row>
    <row r="8" spans="1:19">
      <c r="A8" t="str">
        <v>#032</v>
      </c>
      <c r="B8" t="str">
        <v>ααβαααβ</v>
      </c>
      <c r="C8">
        <v>1516.896</v>
      </c>
      <c r="D8">
        <v>19.170000000000002</v>
      </c>
      <c r="E8">
        <v>2</v>
      </c>
      <c r="F8">
        <v>3</v>
      </c>
      <c r="G8">
        <v>28.57</v>
      </c>
      <c r="H8">
        <v>5</v>
      </c>
      <c r="I8">
        <v>5</v>
      </c>
      <c r="J8">
        <v>5.3333333333333339</v>
      </c>
      <c r="K8">
        <v>6.666666666666667</v>
      </c>
      <c r="L8">
        <v>4</v>
      </c>
      <c r="M8">
        <v>3</v>
      </c>
      <c r="N8">
        <v>6.6773725194956786</v>
      </c>
      <c r="O8">
        <v>6.6707268834703353</v>
      </c>
      <c r="P8">
        <v>7.1618876823768947</v>
      </c>
      <c r="Q8">
        <v>70.7</v>
      </c>
      <c r="R8">
        <v>-54.2</v>
      </c>
      <c r="S8">
        <v>-38.299999999999997</v>
      </c>
    </row>
    <row r="9" spans="1:19">
      <c r="A9" t="str">
        <v>#035</v>
      </c>
      <c r="B9" t="str">
        <v>ααβαααβ</v>
      </c>
      <c r="C9">
        <v>1502.8689999999999</v>
      </c>
      <c r="D9">
        <v>19.670000000000002</v>
      </c>
      <c r="E9">
        <v>2</v>
      </c>
      <c r="F9">
        <v>3</v>
      </c>
      <c r="G9">
        <v>28.57</v>
      </c>
      <c r="H9">
        <v>4</v>
      </c>
      <c r="I9">
        <v>3.6666666666666665</v>
      </c>
      <c r="J9">
        <v>4.3333333333333339</v>
      </c>
      <c r="K9">
        <v>6.3333333333333339</v>
      </c>
      <c r="L9">
        <v>3</v>
      </c>
      <c r="M9">
        <v>2.3333333333333335</v>
      </c>
      <c r="N9">
        <v>5.7036429389839043</v>
      </c>
      <c r="O9">
        <v>5.4373956814257571</v>
      </c>
      <c r="P9">
        <v>5.5484366246960422</v>
      </c>
      <c r="Q9">
        <v>73.099999999999994</v>
      </c>
      <c r="R9">
        <v>-54.7</v>
      </c>
      <c r="S9">
        <v>-40</v>
      </c>
    </row>
    <row r="10" spans="1:19">
      <c r="A10" t="str">
        <v>#038</v>
      </c>
      <c r="B10" t="str">
        <v>ααβαααβ</v>
      </c>
      <c r="C10">
        <v>1548.0419999999999</v>
      </c>
      <c r="D10">
        <v>16.97</v>
      </c>
      <c r="E10">
        <v>0</v>
      </c>
      <c r="F10">
        <v>5</v>
      </c>
      <c r="G10">
        <v>28.57</v>
      </c>
      <c r="H10">
        <v>4</v>
      </c>
      <c r="I10">
        <v>4.666666666666667</v>
      </c>
      <c r="J10">
        <v>4.666666666666667</v>
      </c>
      <c r="K10">
        <v>6.3333333333333339</v>
      </c>
      <c r="L10">
        <v>2.5</v>
      </c>
      <c r="M10">
        <v>4</v>
      </c>
      <c r="N10">
        <v>5.6765851604554793</v>
      </c>
      <c r="O10">
        <v>4.7248703502845331</v>
      </c>
      <c r="P10">
        <v>5.9886846867721655</v>
      </c>
      <c r="Q10">
        <v>25.4</v>
      </c>
      <c r="R10">
        <v>-50.7</v>
      </c>
      <c r="S10">
        <v>-12.9</v>
      </c>
    </row>
    <row r="11" spans="1:19">
      <c r="A11" t="str" cm="1">
        <f t="array" ref="A11:S17">Sheet5!A13:S19</f>
        <v>#055</v>
      </c>
      <c r="B11" t="str">
        <v>αβ</v>
      </c>
      <c r="C11">
        <v>1618.1769999999999</v>
      </c>
      <c r="D11">
        <v>15.99</v>
      </c>
      <c r="E11">
        <v>0</v>
      </c>
      <c r="F11">
        <v>5</v>
      </c>
      <c r="G11">
        <v>50</v>
      </c>
      <c r="H11">
        <v>6.3333333333333339</v>
      </c>
      <c r="I11">
        <v>4</v>
      </c>
      <c r="J11">
        <v>5.666666666666667</v>
      </c>
      <c r="K11">
        <v>7</v>
      </c>
      <c r="L11">
        <v>2</v>
      </c>
      <c r="M11">
        <v>2.5</v>
      </c>
      <c r="N11">
        <v>4.546237501059192</v>
      </c>
      <c r="O11">
        <v>4.337643970035546</v>
      </c>
      <c r="P11">
        <v>6.4296159642017363</v>
      </c>
      <c r="Q11">
        <v>-4.7</v>
      </c>
      <c r="R11">
        <v>-4.7</v>
      </c>
      <c r="S11">
        <v>2.4</v>
      </c>
    </row>
    <row r="12" spans="1:19">
      <c r="A12" t="str">
        <v>#056</v>
      </c>
      <c r="B12" t="str">
        <v>ααβ</v>
      </c>
      <c r="C12">
        <v>1548.0419999999999</v>
      </c>
      <c r="D12">
        <v>18.66</v>
      </c>
      <c r="E12">
        <v>0</v>
      </c>
      <c r="F12">
        <v>5</v>
      </c>
      <c r="G12">
        <v>33.33</v>
      </c>
      <c r="H12">
        <v>4</v>
      </c>
      <c r="I12">
        <v>2.8000000000000003</v>
      </c>
      <c r="J12">
        <v>3.6</v>
      </c>
      <c r="K12">
        <v>5.6000000000000005</v>
      </c>
      <c r="L12">
        <v>2.2000000000000002</v>
      </c>
      <c r="M12">
        <v>3.2000000000000006</v>
      </c>
      <c r="N12">
        <v>5.6544285579160087</v>
      </c>
      <c r="O12">
        <v>5.3974804958350004</v>
      </c>
      <c r="P12">
        <v>4.5360529002402101</v>
      </c>
      <c r="Q12">
        <v>44</v>
      </c>
      <c r="R12">
        <v>-49.2</v>
      </c>
      <c r="S12">
        <v>-21.6</v>
      </c>
    </row>
    <row r="13" spans="1:19">
      <c r="A13" t="str">
        <v>#057</v>
      </c>
      <c r="B13" t="str">
        <v>ααβ</v>
      </c>
      <c r="C13">
        <v>1590.123</v>
      </c>
      <c r="D13">
        <v>20.85</v>
      </c>
      <c r="E13">
        <v>0</v>
      </c>
      <c r="F13">
        <v>5</v>
      </c>
      <c r="G13">
        <v>33.33</v>
      </c>
      <c r="H13">
        <v>2.3333333333333335</v>
      </c>
      <c r="I13">
        <v>2</v>
      </c>
      <c r="J13">
        <v>2.6666666666666665</v>
      </c>
      <c r="K13">
        <v>4.3333333333333339</v>
      </c>
      <c r="L13">
        <v>2</v>
      </c>
      <c r="M13">
        <v>3.6666666666666665</v>
      </c>
      <c r="N13">
        <v>3.8842362691082677</v>
      </c>
      <c r="O13">
        <v>4.1585675080185984</v>
      </c>
      <c r="P13">
        <v>2.7655347463629774</v>
      </c>
      <c r="Q13">
        <v>55.7</v>
      </c>
      <c r="R13">
        <v>-46.4</v>
      </c>
      <c r="S13">
        <v>-25.8</v>
      </c>
    </row>
    <row r="14" spans="1:19">
      <c r="A14" t="str">
        <v>#058</v>
      </c>
      <c r="B14" t="str">
        <v>ααβ</v>
      </c>
      <c r="C14">
        <v>1616.2049999999999</v>
      </c>
      <c r="D14">
        <v>22.1</v>
      </c>
      <c r="E14">
        <v>0</v>
      </c>
      <c r="F14">
        <v>5</v>
      </c>
      <c r="G14">
        <v>33.33</v>
      </c>
      <c r="H14">
        <v>2.3333333333333335</v>
      </c>
      <c r="I14">
        <v>2.3333333333333335</v>
      </c>
      <c r="J14">
        <v>2.3333333333333335</v>
      </c>
      <c r="K14">
        <v>4</v>
      </c>
      <c r="L14">
        <v>3.6666666666666665</v>
      </c>
      <c r="M14">
        <v>4.3333333333333339</v>
      </c>
      <c r="N14">
        <v>2.7513563921658837</v>
      </c>
      <c r="O14">
        <v>3.2700025897517606</v>
      </c>
      <c r="P14">
        <v>0.76553474636297703</v>
      </c>
      <c r="Q14">
        <v>76.099999999999994</v>
      </c>
      <c r="R14">
        <v>-36.5</v>
      </c>
      <c r="S14">
        <v>-27.7</v>
      </c>
    </row>
    <row r="15" spans="1:19">
      <c r="A15" t="str">
        <v>#059</v>
      </c>
      <c r="B15" t="str">
        <v>αααβ</v>
      </c>
      <c r="C15">
        <v>1534.0150000000001</v>
      </c>
      <c r="D15">
        <v>14.92</v>
      </c>
      <c r="E15">
        <v>0</v>
      </c>
      <c r="F15">
        <v>5</v>
      </c>
      <c r="G15">
        <v>25</v>
      </c>
      <c r="H15">
        <v>6</v>
      </c>
      <c r="I15">
        <v>5.666666666666667</v>
      </c>
      <c r="J15">
        <v>6</v>
      </c>
      <c r="K15">
        <v>7.666666666666667</v>
      </c>
      <c r="L15">
        <v>4.75</v>
      </c>
      <c r="M15">
        <v>3.6666666666666665</v>
      </c>
      <c r="N15">
        <v>6.9634622171825109</v>
      </c>
      <c r="O15">
        <v>6.4925371194936705</v>
      </c>
      <c r="P15">
        <v>8.8920873965234826</v>
      </c>
      <c r="Q15">
        <v>23.1</v>
      </c>
      <c r="R15">
        <v>-48.9</v>
      </c>
      <c r="S15">
        <v>-11.3</v>
      </c>
    </row>
    <row r="16" spans="1:19">
      <c r="A16" t="str">
        <v>#061</v>
      </c>
      <c r="B16" t="str">
        <v>αβ</v>
      </c>
      <c r="C16">
        <v>1644.259</v>
      </c>
      <c r="D16">
        <v>17.75</v>
      </c>
      <c r="E16">
        <v>0</v>
      </c>
      <c r="F16">
        <v>5</v>
      </c>
      <c r="G16">
        <v>50</v>
      </c>
      <c r="H16">
        <v>4</v>
      </c>
      <c r="I16">
        <v>4.3333333333333339</v>
      </c>
      <c r="J16">
        <v>4.666666666666667</v>
      </c>
      <c r="K16">
        <v>6.666666666666667</v>
      </c>
      <c r="L16">
        <v>2.3333333333333335</v>
      </c>
      <c r="M16">
        <v>4</v>
      </c>
      <c r="N16">
        <v>2.4423102831456922</v>
      </c>
      <c r="O16">
        <v>2.7991044519686374</v>
      </c>
      <c r="P16">
        <v>2.2016338611696504</v>
      </c>
      <c r="Q16">
        <v>-5</v>
      </c>
      <c r="R16">
        <v>1</v>
      </c>
      <c r="S16">
        <v>2.5</v>
      </c>
    </row>
    <row r="17" spans="1:19">
      <c r="A17" t="str">
        <v>#228</v>
      </c>
      <c r="B17" t="str">
        <v>αααβ</v>
      </c>
      <c r="C17">
        <v>1542.038</v>
      </c>
      <c r="D17">
        <v>18.920000000000002</v>
      </c>
      <c r="E17">
        <v>2</v>
      </c>
      <c r="F17">
        <v>5</v>
      </c>
      <c r="G17">
        <v>25</v>
      </c>
      <c r="H17">
        <v>3.3333333333333335</v>
      </c>
      <c r="I17">
        <v>3.3333333333333335</v>
      </c>
      <c r="J17">
        <v>3.6666666666666665</v>
      </c>
      <c r="K17">
        <v>5.666666666666667</v>
      </c>
      <c r="L17">
        <v>2.6666666666666665</v>
      </c>
      <c r="M17">
        <v>3.3333333333333335</v>
      </c>
      <c r="N17">
        <v>3.77332579366829</v>
      </c>
      <c r="O17">
        <v>3.6490937489357052</v>
      </c>
      <c r="P17">
        <v>2.9634741239748865</v>
      </c>
      <c r="Q17">
        <v>80.5</v>
      </c>
      <c r="R17">
        <v>-37.700000000000003</v>
      </c>
      <c r="S17">
        <v>-30.3</v>
      </c>
    </row>
    <row r="18" spans="1:19">
      <c r="A18" t="str" cm="1">
        <f t="array" ref="A18:S19">Sheet5!A25:S26</f>
        <v>#024</v>
      </c>
      <c r="B18" t="str">
        <v>αβαβααβ</v>
      </c>
      <c r="C18">
        <v>1598.146</v>
      </c>
      <c r="D18">
        <v>18.12</v>
      </c>
      <c r="E18">
        <v>2</v>
      </c>
      <c r="F18">
        <v>5</v>
      </c>
      <c r="G18">
        <v>42.86</v>
      </c>
      <c r="H18">
        <v>4</v>
      </c>
      <c r="I18">
        <v>3</v>
      </c>
      <c r="J18">
        <v>4</v>
      </c>
      <c r="K18">
        <v>6</v>
      </c>
      <c r="L18">
        <v>2.3333333333333335</v>
      </c>
      <c r="M18">
        <v>3</v>
      </c>
      <c r="N18">
        <v>4.1796604557049486</v>
      </c>
      <c r="O18">
        <v>4.2231523549254684</v>
      </c>
      <c r="P18">
        <v>6.2555007331483869</v>
      </c>
      <c r="Q18">
        <v>18.8</v>
      </c>
      <c r="R18">
        <v>-18</v>
      </c>
      <c r="S18">
        <v>-10.6</v>
      </c>
    </row>
    <row r="19" spans="1:19">
      <c r="A19" t="str">
        <v>#049</v>
      </c>
      <c r="B19" t="str">
        <v>αβαβααβ</v>
      </c>
      <c r="C19">
        <v>1629.1473000000001</v>
      </c>
      <c r="D19">
        <v>17.88</v>
      </c>
      <c r="E19">
        <v>0</v>
      </c>
      <c r="F19">
        <v>5</v>
      </c>
      <c r="G19">
        <v>42.86</v>
      </c>
      <c r="H19">
        <v>4</v>
      </c>
      <c r="I19">
        <v>3</v>
      </c>
      <c r="J19">
        <v>4.3333333333333339</v>
      </c>
      <c r="K19">
        <v>6</v>
      </c>
      <c r="L19">
        <v>8</v>
      </c>
      <c r="M19">
        <v>5</v>
      </c>
      <c r="N19">
        <v>3.8388139656867271</v>
      </c>
      <c r="O19">
        <v>3.8762127767606001</v>
      </c>
      <c r="P19">
        <v>5.0312187306107212</v>
      </c>
      <c r="Q19">
        <v>5.7</v>
      </c>
      <c r="R19">
        <v>2.1</v>
      </c>
      <c r="S19">
        <v>-2.9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A846AF-09B2-4B1C-9FF0-74FCD87C6C4E}">
  <dimension ref="A1:U27"/>
  <sheetViews>
    <sheetView workbookViewId="0">
      <selection activeCell="K3" sqref="K3"/>
    </sheetView>
  </sheetViews>
  <sheetFormatPr defaultRowHeight="15"/>
  <cols>
    <col min="1" max="1" width="13.5703125" style="17" customWidth="1"/>
    <col min="2" max="2" width="19.28515625" style="17" customWidth="1"/>
    <col min="3" max="3" width="12.140625" style="17" bestFit="1" customWidth="1"/>
    <col min="4" max="6" width="9.42578125" style="17" bestFit="1" customWidth="1"/>
    <col min="7" max="7" width="12.28515625" style="17" bestFit="1" customWidth="1"/>
    <col min="8" max="19" width="9.42578125" style="17" bestFit="1" customWidth="1"/>
    <col min="20" max="16384" width="9.140625" style="17"/>
  </cols>
  <sheetData>
    <row r="1" spans="1:21" ht="15.75">
      <c r="A1" s="23"/>
      <c r="B1" s="23" t="s">
        <v>0</v>
      </c>
      <c r="C1" s="26" t="s">
        <v>1</v>
      </c>
      <c r="D1" s="26" t="s">
        <v>2</v>
      </c>
      <c r="E1" s="23" t="s">
        <v>3</v>
      </c>
      <c r="F1" s="23" t="s">
        <v>4</v>
      </c>
      <c r="G1" s="23" t="s">
        <v>5</v>
      </c>
      <c r="H1" s="27" t="s">
        <v>6</v>
      </c>
      <c r="I1" s="28" t="s">
        <v>7</v>
      </c>
      <c r="J1" s="28" t="s">
        <v>8</v>
      </c>
      <c r="K1" s="28" t="s">
        <v>9</v>
      </c>
      <c r="L1" s="28" t="s">
        <v>10</v>
      </c>
      <c r="M1" s="28" t="s">
        <v>11</v>
      </c>
      <c r="N1" s="28" t="s">
        <v>13</v>
      </c>
      <c r="O1" s="28" t="s">
        <v>12</v>
      </c>
      <c r="P1" s="23" t="s">
        <v>14</v>
      </c>
      <c r="Q1" s="23" t="s">
        <v>15</v>
      </c>
      <c r="R1" s="23" t="s">
        <v>16</v>
      </c>
      <c r="S1" s="23" t="s">
        <v>17</v>
      </c>
      <c r="T1" s="16"/>
    </row>
    <row r="2" spans="1:21" ht="15.75">
      <c r="A2" s="26" t="s">
        <v>18</v>
      </c>
      <c r="B2" s="26" t="s">
        <v>19</v>
      </c>
      <c r="C2" s="26">
        <v>1479.787</v>
      </c>
      <c r="D2" s="26">
        <v>22.89</v>
      </c>
      <c r="E2" s="26">
        <v>0</v>
      </c>
      <c r="F2" s="26">
        <v>1</v>
      </c>
      <c r="G2" s="26">
        <v>0</v>
      </c>
      <c r="H2" s="26" cm="1">
        <f t="array" ref="H2:O5">Sheet2!B2:I5</f>
        <v>6</v>
      </c>
      <c r="I2" s="26">
        <v>5.666666666666667</v>
      </c>
      <c r="J2" s="26">
        <v>6.666666666666667</v>
      </c>
      <c r="K2" s="26">
        <v>7.666666666666667</v>
      </c>
      <c r="L2" s="26">
        <v>5.666666666666667</v>
      </c>
      <c r="M2" s="26">
        <v>4.666666666666667</v>
      </c>
      <c r="N2" s="26">
        <v>6.0145555571813283</v>
      </c>
      <c r="O2" s="26">
        <v>5.8101553883631594</v>
      </c>
      <c r="P2" s="26">
        <v>5.1292830169449664</v>
      </c>
      <c r="Q2" s="26">
        <v>83.5</v>
      </c>
      <c r="R2" s="26">
        <v>-23.4</v>
      </c>
      <c r="S2" s="26">
        <v>-19.5</v>
      </c>
    </row>
    <row r="3" spans="1:21" ht="15.75">
      <c r="A3" s="26" t="s">
        <v>20</v>
      </c>
      <c r="B3" s="26" t="s">
        <v>21</v>
      </c>
      <c r="C3" s="24">
        <v>1481.9390000000001</v>
      </c>
      <c r="D3" s="26">
        <v>16.28</v>
      </c>
      <c r="E3" s="23">
        <v>2</v>
      </c>
      <c r="F3" s="23">
        <v>5</v>
      </c>
      <c r="G3" s="23">
        <v>33.33</v>
      </c>
      <c r="H3" s="28">
        <v>4.666666666666667</v>
      </c>
      <c r="I3" s="28">
        <v>4</v>
      </c>
      <c r="J3" s="26">
        <v>4.666666666666667</v>
      </c>
      <c r="K3" s="28">
        <v>6.666666666666667</v>
      </c>
      <c r="L3" s="28">
        <v>3.6666666666666665</v>
      </c>
      <c r="M3" s="28">
        <v>2.6666666666666665</v>
      </c>
      <c r="N3" s="28">
        <v>6.9285302342749526</v>
      </c>
      <c r="O3" s="28">
        <v>6.894825195277658</v>
      </c>
      <c r="P3" s="28">
        <v>7.7279204545631996</v>
      </c>
      <c r="Q3" s="28">
        <v>55.7</v>
      </c>
      <c r="R3" s="28">
        <v>-57.1</v>
      </c>
      <c r="S3" s="28">
        <v>-31.8</v>
      </c>
      <c r="T3" s="18"/>
      <c r="U3" s="19"/>
    </row>
    <row r="4" spans="1:21" ht="15.75">
      <c r="A4" s="26" t="s">
        <v>22</v>
      </c>
      <c r="B4" s="26" t="s">
        <v>21</v>
      </c>
      <c r="C4" s="24">
        <v>1524.02</v>
      </c>
      <c r="D4" s="26">
        <v>18.37</v>
      </c>
      <c r="E4" s="23">
        <v>2</v>
      </c>
      <c r="F4" s="23">
        <v>5</v>
      </c>
      <c r="G4" s="23">
        <v>33.33</v>
      </c>
      <c r="H4" s="28">
        <v>3</v>
      </c>
      <c r="I4" s="28">
        <v>2.6666666666666665</v>
      </c>
      <c r="J4" s="28">
        <v>3.6666666666666665</v>
      </c>
      <c r="K4" s="28">
        <v>5.666666666666667</v>
      </c>
      <c r="L4" s="28">
        <v>2</v>
      </c>
      <c r="M4" s="28">
        <v>2.3333333333333335</v>
      </c>
      <c r="N4" s="28">
        <v>4.6641934167216741</v>
      </c>
      <c r="O4" s="28">
        <v>4.6644793040409205</v>
      </c>
      <c r="P4" s="28">
        <v>5.3680698765320827</v>
      </c>
      <c r="Q4" s="28">
        <v>67.5</v>
      </c>
      <c r="R4" s="28">
        <v>-58.8</v>
      </c>
      <c r="S4" s="28">
        <v>-39.700000000000003</v>
      </c>
      <c r="T4" s="18"/>
      <c r="U4" s="19"/>
    </row>
    <row r="5" spans="1:21" ht="15.75">
      <c r="A5" s="26" t="s">
        <v>23</v>
      </c>
      <c r="B5" s="26" t="s">
        <v>21</v>
      </c>
      <c r="C5" s="24">
        <v>1550.1020000000001</v>
      </c>
      <c r="D5" s="26">
        <v>19.45</v>
      </c>
      <c r="E5" s="23">
        <v>2</v>
      </c>
      <c r="F5" s="23">
        <v>5</v>
      </c>
      <c r="G5" s="23">
        <v>33.33</v>
      </c>
      <c r="H5" s="28">
        <v>2.3333333333333335</v>
      </c>
      <c r="I5" s="28">
        <v>3</v>
      </c>
      <c r="J5" s="28">
        <v>3</v>
      </c>
      <c r="K5" s="28">
        <v>4.666666666666667</v>
      </c>
      <c r="L5" s="28">
        <v>2</v>
      </c>
      <c r="M5" s="28">
        <v>4.666666666666667</v>
      </c>
      <c r="N5" s="28">
        <v>2.9945497348547261</v>
      </c>
      <c r="O5" s="28">
        <v>3.2390771048393145</v>
      </c>
      <c r="P5" s="28">
        <v>1.8073549220576042</v>
      </c>
      <c r="Q5" s="28">
        <v>88</v>
      </c>
      <c r="R5" s="28">
        <v>-44.6</v>
      </c>
      <c r="S5" s="28">
        <v>-39.299999999999997</v>
      </c>
      <c r="T5" s="18"/>
      <c r="U5" s="19"/>
    </row>
    <row r="6" spans="1:21" ht="15.75">
      <c r="A6" s="26" t="s">
        <v>24</v>
      </c>
      <c r="B6" s="26" t="s">
        <v>25</v>
      </c>
      <c r="C6" s="22">
        <v>1515.9559999999999</v>
      </c>
      <c r="D6" s="26">
        <v>17.18</v>
      </c>
      <c r="E6" s="23">
        <v>2</v>
      </c>
      <c r="F6" s="23">
        <v>5</v>
      </c>
      <c r="G6" s="23">
        <v>28.57</v>
      </c>
      <c r="H6" s="28" cm="1">
        <f t="array" ref="H6:O12">Sheet2!B7:I13</f>
        <v>4</v>
      </c>
      <c r="I6" s="28">
        <v>3.3333333333333335</v>
      </c>
      <c r="J6" s="28">
        <v>3.6666666666666665</v>
      </c>
      <c r="K6" s="28">
        <v>6</v>
      </c>
      <c r="L6" s="28">
        <v>3.3333333333333335</v>
      </c>
      <c r="M6" s="28">
        <v>2.6666666666666665</v>
      </c>
      <c r="N6" s="28">
        <v>6.5674963995373687</v>
      </c>
      <c r="O6" s="28">
        <v>6.0126818390869285</v>
      </c>
      <c r="P6" s="28">
        <v>7.2431739834729507</v>
      </c>
      <c r="Q6" s="28">
        <v>51.7</v>
      </c>
      <c r="R6" s="28">
        <v>-53.7</v>
      </c>
      <c r="S6" s="28">
        <v>-27.7</v>
      </c>
      <c r="T6" s="18"/>
      <c r="U6" s="19"/>
    </row>
    <row r="7" spans="1:21" ht="15.75">
      <c r="A7" s="26" t="s">
        <v>26</v>
      </c>
      <c r="B7" s="26" t="s">
        <v>25</v>
      </c>
      <c r="C7" s="22">
        <v>1587.079</v>
      </c>
      <c r="D7" s="26">
        <v>15.13</v>
      </c>
      <c r="E7" s="23">
        <v>2</v>
      </c>
      <c r="F7" s="23">
        <v>6</v>
      </c>
      <c r="G7" s="23">
        <v>28.57</v>
      </c>
      <c r="H7" s="28">
        <v>4.666666666666667</v>
      </c>
      <c r="I7" s="28">
        <v>4</v>
      </c>
      <c r="J7" s="28">
        <v>4</v>
      </c>
      <c r="K7" s="28">
        <v>6.666666666666667</v>
      </c>
      <c r="L7" s="28">
        <v>3.3333333333333335</v>
      </c>
      <c r="M7" s="28">
        <v>3</v>
      </c>
      <c r="N7" s="28">
        <v>6.9333809147285717</v>
      </c>
      <c r="O7" s="28">
        <v>5.982090722595931</v>
      </c>
      <c r="P7" s="28">
        <v>7.8054214461717573</v>
      </c>
      <c r="Q7" s="28">
        <v>46.9</v>
      </c>
      <c r="R7" s="28">
        <v>-41.8</v>
      </c>
      <c r="S7" s="28">
        <v>-19.600000000000001</v>
      </c>
      <c r="T7" s="18"/>
      <c r="U7" s="19"/>
    </row>
    <row r="8" spans="1:21" ht="15.75">
      <c r="A8" s="26" t="s">
        <v>27</v>
      </c>
      <c r="B8" s="26" t="s">
        <v>25</v>
      </c>
      <c r="C8" s="22">
        <v>1516.896</v>
      </c>
      <c r="D8" s="26">
        <v>19.170000000000002</v>
      </c>
      <c r="E8" s="23">
        <v>2</v>
      </c>
      <c r="F8" s="23">
        <v>3</v>
      </c>
      <c r="G8" s="23">
        <v>28.57</v>
      </c>
      <c r="H8" s="28">
        <v>5</v>
      </c>
      <c r="I8" s="28">
        <v>5</v>
      </c>
      <c r="J8" s="28">
        <v>5.3333333333333339</v>
      </c>
      <c r="K8" s="28">
        <v>6.666666666666667</v>
      </c>
      <c r="L8" s="28">
        <v>4</v>
      </c>
      <c r="M8" s="28">
        <v>3</v>
      </c>
      <c r="N8" s="28">
        <v>6.6773725194956786</v>
      </c>
      <c r="O8" s="28">
        <v>6.6707268834703353</v>
      </c>
      <c r="P8" s="28">
        <v>7.1618876823768947</v>
      </c>
      <c r="Q8" s="28">
        <v>70.7</v>
      </c>
      <c r="R8" s="28">
        <v>-54.2</v>
      </c>
      <c r="S8" s="28">
        <v>-38.299999999999997</v>
      </c>
      <c r="T8" s="18"/>
      <c r="U8" s="19"/>
    </row>
    <row r="9" spans="1:21" ht="15.75">
      <c r="A9" s="26" t="s">
        <v>28</v>
      </c>
      <c r="B9" s="26" t="s">
        <v>25</v>
      </c>
      <c r="C9" s="22">
        <v>1502.8689999999999</v>
      </c>
      <c r="D9" s="26">
        <v>19.670000000000002</v>
      </c>
      <c r="E9" s="23">
        <v>2</v>
      </c>
      <c r="F9" s="23">
        <v>3</v>
      </c>
      <c r="G9" s="23">
        <v>28.57</v>
      </c>
      <c r="H9" s="28">
        <v>4</v>
      </c>
      <c r="I9" s="28">
        <v>3.6666666666666665</v>
      </c>
      <c r="J9" s="28">
        <v>4.3333333333333339</v>
      </c>
      <c r="K9" s="28">
        <v>6.3333333333333339</v>
      </c>
      <c r="L9" s="28">
        <v>3</v>
      </c>
      <c r="M9" s="28">
        <v>2.3333333333333335</v>
      </c>
      <c r="N9" s="28">
        <v>5.7036429389839043</v>
      </c>
      <c r="O9" s="28">
        <v>5.4373956814257571</v>
      </c>
      <c r="P9" s="28">
        <v>5.5484366246960422</v>
      </c>
      <c r="Q9" s="28">
        <v>73.099999999999994</v>
      </c>
      <c r="R9" s="28">
        <v>-54.7</v>
      </c>
      <c r="S9" s="28">
        <v>-40</v>
      </c>
      <c r="T9" s="18"/>
      <c r="U9" s="19"/>
    </row>
    <row r="10" spans="1:21" ht="15.75">
      <c r="A10" s="26" t="s">
        <v>29</v>
      </c>
      <c r="B10" s="26" t="s">
        <v>25</v>
      </c>
      <c r="C10" s="22">
        <v>1548.0419999999999</v>
      </c>
      <c r="D10" s="26">
        <v>16.97</v>
      </c>
      <c r="E10" s="23">
        <v>0</v>
      </c>
      <c r="F10" s="23">
        <v>5</v>
      </c>
      <c r="G10" s="23">
        <v>28.57</v>
      </c>
      <c r="H10" s="28">
        <v>4</v>
      </c>
      <c r="I10" s="28">
        <v>4.666666666666667</v>
      </c>
      <c r="J10" s="28">
        <v>4.666666666666667</v>
      </c>
      <c r="K10" s="28">
        <v>6.3333333333333339</v>
      </c>
      <c r="L10" s="28">
        <v>2.5</v>
      </c>
      <c r="M10" s="28">
        <v>4</v>
      </c>
      <c r="N10" s="28">
        <v>5.6765851604554793</v>
      </c>
      <c r="O10" s="28">
        <v>4.7248703502845331</v>
      </c>
      <c r="P10" s="28">
        <v>5.9886846867721655</v>
      </c>
      <c r="Q10" s="28">
        <v>25.4</v>
      </c>
      <c r="R10" s="28">
        <v>-50.7</v>
      </c>
      <c r="S10" s="28">
        <v>-12.9</v>
      </c>
      <c r="T10" s="18"/>
      <c r="U10" s="19"/>
    </row>
    <row r="11" spans="1:21" ht="15.75">
      <c r="A11" s="26" t="s">
        <v>30</v>
      </c>
      <c r="B11" s="26" t="s">
        <v>31</v>
      </c>
      <c r="C11" s="22">
        <v>1562.069</v>
      </c>
      <c r="D11" s="26">
        <v>13.72</v>
      </c>
      <c r="E11" s="23">
        <v>0</v>
      </c>
      <c r="F11" s="23">
        <v>5</v>
      </c>
      <c r="G11" s="23">
        <v>42.86</v>
      </c>
      <c r="H11" s="28">
        <v>8</v>
      </c>
      <c r="I11" s="28">
        <v>7.3333333333333339</v>
      </c>
      <c r="J11" s="28">
        <v>7.3333333333333339</v>
      </c>
      <c r="K11" s="28">
        <v>7.666666666666667</v>
      </c>
      <c r="L11" s="28">
        <v>8</v>
      </c>
      <c r="M11" s="28">
        <v>8</v>
      </c>
      <c r="N11" s="28">
        <v>8</v>
      </c>
      <c r="O11" s="28">
        <v>7</v>
      </c>
      <c r="P11" s="28">
        <v>8.7059779016825232</v>
      </c>
      <c r="Q11" s="28">
        <v>-1.5</v>
      </c>
      <c r="R11" s="28">
        <v>6.6</v>
      </c>
      <c r="S11" s="28">
        <v>0.8</v>
      </c>
      <c r="T11" s="18"/>
      <c r="U11" s="19"/>
    </row>
    <row r="12" spans="1:21" ht="15.75">
      <c r="A12" s="26" t="s">
        <v>32</v>
      </c>
      <c r="B12" s="26" t="s">
        <v>31</v>
      </c>
      <c r="C12" s="22">
        <v>1604.15</v>
      </c>
      <c r="D12" s="26">
        <v>15.2</v>
      </c>
      <c r="E12" s="23">
        <v>0</v>
      </c>
      <c r="F12" s="23">
        <v>5</v>
      </c>
      <c r="G12" s="23">
        <v>42.86</v>
      </c>
      <c r="H12" s="22">
        <v>7</v>
      </c>
      <c r="I12" s="22">
        <v>6</v>
      </c>
      <c r="J12" s="22">
        <v>7</v>
      </c>
      <c r="K12" s="22">
        <v>8</v>
      </c>
      <c r="L12" s="22">
        <v>8</v>
      </c>
      <c r="M12" s="22">
        <v>4</v>
      </c>
      <c r="N12" s="22">
        <v>6.1032552497000889</v>
      </c>
      <c r="O12" s="22">
        <v>6.878396594394844</v>
      </c>
      <c r="P12" s="22">
        <v>8.9509932319796413</v>
      </c>
      <c r="Q12" s="22">
        <v>0.3</v>
      </c>
      <c r="R12" s="22">
        <v>3.8</v>
      </c>
      <c r="S12" s="28">
        <v>-0.1</v>
      </c>
      <c r="T12" s="18"/>
      <c r="U12" s="19"/>
    </row>
    <row r="13" spans="1:21" s="20" customFormat="1" ht="15.75">
      <c r="A13" s="26" t="s">
        <v>33</v>
      </c>
      <c r="B13" s="26" t="s">
        <v>34</v>
      </c>
      <c r="C13" s="25">
        <v>1618.1769999999999</v>
      </c>
      <c r="D13" s="26">
        <v>15.99</v>
      </c>
      <c r="E13" s="29">
        <v>0</v>
      </c>
      <c r="F13" s="29">
        <v>5</v>
      </c>
      <c r="G13" s="22">
        <v>50</v>
      </c>
      <c r="H13" s="22" cm="1">
        <f t="array" ref="H13:O27">Sheet2!B15:I29</f>
        <v>6.3333333333333339</v>
      </c>
      <c r="I13" s="22">
        <v>4</v>
      </c>
      <c r="J13" s="22">
        <v>5.666666666666667</v>
      </c>
      <c r="K13" s="22">
        <v>7</v>
      </c>
      <c r="L13" s="22">
        <v>2</v>
      </c>
      <c r="M13" s="22">
        <v>2.5</v>
      </c>
      <c r="N13" s="22">
        <v>4.546237501059192</v>
      </c>
      <c r="O13" s="22">
        <v>4.337643970035546</v>
      </c>
      <c r="P13" s="22">
        <v>6.4296159642017363</v>
      </c>
      <c r="Q13" s="22">
        <v>-4.7</v>
      </c>
      <c r="R13" s="22">
        <v>-4.7</v>
      </c>
      <c r="S13" s="22">
        <v>2.4</v>
      </c>
    </row>
    <row r="14" spans="1:21" s="20" customFormat="1" ht="15.75">
      <c r="A14" s="26" t="s">
        <v>35</v>
      </c>
      <c r="B14" s="26" t="s">
        <v>21</v>
      </c>
      <c r="C14" s="22">
        <v>1548.0419999999999</v>
      </c>
      <c r="D14" s="26">
        <v>18.66</v>
      </c>
      <c r="E14" s="29">
        <v>0</v>
      </c>
      <c r="F14" s="29">
        <v>5</v>
      </c>
      <c r="G14" s="22">
        <v>33.33</v>
      </c>
      <c r="H14" s="26">
        <v>4</v>
      </c>
      <c r="I14" s="26">
        <v>2.8000000000000003</v>
      </c>
      <c r="J14" s="26">
        <v>3.6</v>
      </c>
      <c r="K14" s="26">
        <v>5.6000000000000005</v>
      </c>
      <c r="L14" s="26">
        <v>2.2000000000000002</v>
      </c>
      <c r="M14" s="26">
        <v>3.2000000000000006</v>
      </c>
      <c r="N14" s="26">
        <v>5.6544285579160087</v>
      </c>
      <c r="O14" s="26">
        <v>5.3974804958350004</v>
      </c>
      <c r="P14" s="26">
        <v>4.5360529002402101</v>
      </c>
      <c r="Q14" s="26">
        <v>44</v>
      </c>
      <c r="R14" s="26">
        <v>-49.2</v>
      </c>
      <c r="S14" s="22">
        <v>-21.6</v>
      </c>
    </row>
    <row r="15" spans="1:21" s="20" customFormat="1" ht="15.75">
      <c r="A15" s="26" t="s">
        <v>36</v>
      </c>
      <c r="B15" s="26" t="s">
        <v>21</v>
      </c>
      <c r="C15" s="22">
        <v>1590.123</v>
      </c>
      <c r="D15" s="26">
        <v>20.85</v>
      </c>
      <c r="E15" s="29">
        <v>0</v>
      </c>
      <c r="F15" s="29">
        <v>5</v>
      </c>
      <c r="G15" s="22">
        <v>33.33</v>
      </c>
      <c r="H15" s="28">
        <v>2.3333333333333335</v>
      </c>
      <c r="I15" s="28">
        <v>2</v>
      </c>
      <c r="J15" s="28">
        <v>2.6666666666666665</v>
      </c>
      <c r="K15" s="28">
        <v>4.3333333333333339</v>
      </c>
      <c r="L15" s="28">
        <v>2</v>
      </c>
      <c r="M15" s="28">
        <v>3.6666666666666665</v>
      </c>
      <c r="N15" s="28">
        <v>3.8842362691082677</v>
      </c>
      <c r="O15" s="28">
        <v>4.1585675080185984</v>
      </c>
      <c r="P15" s="28">
        <v>2.7655347463629774</v>
      </c>
      <c r="Q15" s="28">
        <v>55.7</v>
      </c>
      <c r="R15" s="28">
        <v>-46.4</v>
      </c>
      <c r="S15" s="22">
        <v>-25.8</v>
      </c>
    </row>
    <row r="16" spans="1:21" ht="15.75">
      <c r="A16" s="26" t="s">
        <v>37</v>
      </c>
      <c r="B16" s="26" t="s">
        <v>21</v>
      </c>
      <c r="C16" s="26">
        <v>1616.2049999999999</v>
      </c>
      <c r="D16" s="26">
        <v>22.1</v>
      </c>
      <c r="E16" s="26">
        <v>0</v>
      </c>
      <c r="F16" s="26">
        <v>5</v>
      </c>
      <c r="G16" s="26">
        <v>33.33</v>
      </c>
      <c r="H16" s="28">
        <v>2.3333333333333335</v>
      </c>
      <c r="I16" s="28">
        <v>2.3333333333333335</v>
      </c>
      <c r="J16" s="28">
        <v>2.3333333333333335</v>
      </c>
      <c r="K16" s="28">
        <v>4</v>
      </c>
      <c r="L16" s="28">
        <v>3.6666666666666665</v>
      </c>
      <c r="M16" s="28">
        <v>4.3333333333333339</v>
      </c>
      <c r="N16" s="28">
        <v>2.7513563921658837</v>
      </c>
      <c r="O16" s="28">
        <v>3.2700025897517606</v>
      </c>
      <c r="P16" s="28">
        <v>0.76553474636297703</v>
      </c>
      <c r="Q16" s="28">
        <v>76.099999999999994</v>
      </c>
      <c r="R16" s="28">
        <v>-36.5</v>
      </c>
      <c r="S16" s="26">
        <v>-27.7</v>
      </c>
    </row>
    <row r="17" spans="1:21" ht="15.75">
      <c r="A17" s="26" t="s">
        <v>38</v>
      </c>
      <c r="B17" s="26" t="s">
        <v>39</v>
      </c>
      <c r="C17" s="26">
        <v>1534.0150000000001</v>
      </c>
      <c r="D17" s="26">
        <v>14.92</v>
      </c>
      <c r="E17" s="23">
        <v>0</v>
      </c>
      <c r="F17" s="23">
        <v>5</v>
      </c>
      <c r="G17" s="23">
        <v>25</v>
      </c>
      <c r="H17" s="28">
        <v>6</v>
      </c>
      <c r="I17" s="28">
        <v>5.666666666666667</v>
      </c>
      <c r="J17" s="28">
        <v>6</v>
      </c>
      <c r="K17" s="28">
        <v>7.666666666666667</v>
      </c>
      <c r="L17" s="28">
        <v>4.75</v>
      </c>
      <c r="M17" s="28">
        <v>3.6666666666666665</v>
      </c>
      <c r="N17" s="28">
        <v>6.9634622171825109</v>
      </c>
      <c r="O17" s="28">
        <v>6.4925371194936705</v>
      </c>
      <c r="P17" s="28">
        <v>8.8920873965234826</v>
      </c>
      <c r="Q17" s="26">
        <v>23.1</v>
      </c>
      <c r="R17" s="26">
        <v>-48.9</v>
      </c>
      <c r="S17" s="28">
        <v>-11.3</v>
      </c>
      <c r="T17" s="18"/>
      <c r="U17" s="19"/>
    </row>
    <row r="18" spans="1:21" ht="15.75">
      <c r="A18" s="26" t="s">
        <v>40</v>
      </c>
      <c r="B18" s="26" t="s">
        <v>34</v>
      </c>
      <c r="C18" s="26">
        <v>1644.259</v>
      </c>
      <c r="D18" s="26">
        <v>17.75</v>
      </c>
      <c r="E18" s="23">
        <v>0</v>
      </c>
      <c r="F18" s="23">
        <v>5</v>
      </c>
      <c r="G18" s="23">
        <v>50</v>
      </c>
      <c r="H18" s="28">
        <v>4</v>
      </c>
      <c r="I18" s="28">
        <v>4.3333333333333339</v>
      </c>
      <c r="J18" s="28">
        <v>4.666666666666667</v>
      </c>
      <c r="K18" s="28">
        <v>6.666666666666667</v>
      </c>
      <c r="L18" s="28">
        <v>2.3333333333333335</v>
      </c>
      <c r="M18" s="28">
        <v>4</v>
      </c>
      <c r="N18" s="28">
        <v>2.4423102831456922</v>
      </c>
      <c r="O18" s="28">
        <v>2.7991044519686374</v>
      </c>
      <c r="P18" s="28">
        <v>2.2016338611696504</v>
      </c>
      <c r="Q18" s="26">
        <v>-5</v>
      </c>
      <c r="R18" s="26">
        <v>1</v>
      </c>
      <c r="S18" s="28">
        <v>2.5</v>
      </c>
      <c r="T18" s="18"/>
      <c r="U18" s="19"/>
    </row>
    <row r="19" spans="1:21" ht="15.75">
      <c r="A19" s="26" t="s">
        <v>41</v>
      </c>
      <c r="B19" s="26" t="s">
        <v>39</v>
      </c>
      <c r="C19" s="26">
        <v>1542.038</v>
      </c>
      <c r="D19" s="26">
        <v>18.920000000000002</v>
      </c>
      <c r="E19" s="26">
        <v>2</v>
      </c>
      <c r="F19" s="26">
        <v>5</v>
      </c>
      <c r="G19" s="26">
        <v>25</v>
      </c>
      <c r="H19" s="28">
        <v>3.3333333333333335</v>
      </c>
      <c r="I19" s="28">
        <v>3.3333333333333335</v>
      </c>
      <c r="J19" s="28">
        <v>3.6666666666666665</v>
      </c>
      <c r="K19" s="28">
        <v>5.666666666666667</v>
      </c>
      <c r="L19" s="28">
        <v>2.6666666666666665</v>
      </c>
      <c r="M19" s="28">
        <v>3.3333333333333335</v>
      </c>
      <c r="N19" s="28">
        <v>3.77332579366829</v>
      </c>
      <c r="O19" s="28">
        <v>3.6490937489357052</v>
      </c>
      <c r="P19" s="28">
        <v>2.9634741239748865</v>
      </c>
      <c r="Q19" s="26">
        <v>80.5</v>
      </c>
      <c r="R19" s="26">
        <v>-37.700000000000003</v>
      </c>
      <c r="S19" s="26">
        <v>-30.3</v>
      </c>
    </row>
    <row r="20" spans="1:21" ht="15.75">
      <c r="A20" s="26" t="s">
        <v>42</v>
      </c>
      <c r="B20" s="26" t="s">
        <v>21</v>
      </c>
      <c r="C20" s="26">
        <v>1465.94</v>
      </c>
      <c r="D20" s="26">
        <v>13.95</v>
      </c>
      <c r="E20" s="26">
        <v>2</v>
      </c>
      <c r="F20" s="26">
        <v>5</v>
      </c>
      <c r="G20" s="26">
        <v>33.33</v>
      </c>
      <c r="H20" s="26">
        <v>6.3333333333333339</v>
      </c>
      <c r="I20" s="26">
        <v>6.666666666666667</v>
      </c>
      <c r="J20" s="26">
        <v>6.3333333333333339</v>
      </c>
      <c r="K20" s="26">
        <v>8</v>
      </c>
      <c r="L20" s="26">
        <v>5</v>
      </c>
      <c r="M20" s="26">
        <v>3.3333333333333335</v>
      </c>
      <c r="N20" s="26">
        <v>8.8494485504556231</v>
      </c>
      <c r="O20" s="26">
        <v>9.0111985182722041</v>
      </c>
      <c r="P20" s="31">
        <v>9.5370175303582858</v>
      </c>
      <c r="Q20" s="26">
        <v>57.1</v>
      </c>
      <c r="R20" s="26">
        <v>-29.1</v>
      </c>
      <c r="S20" s="26">
        <v>-16.600000000000001</v>
      </c>
    </row>
    <row r="21" spans="1:21" ht="15.75">
      <c r="A21" s="26" t="s">
        <v>44</v>
      </c>
      <c r="B21" s="26" t="s">
        <v>21</v>
      </c>
      <c r="C21" s="26">
        <v>1481.9390000000001</v>
      </c>
      <c r="D21" s="26">
        <v>15.12</v>
      </c>
      <c r="E21" s="26">
        <v>2</v>
      </c>
      <c r="F21" s="26">
        <v>5</v>
      </c>
      <c r="G21" s="26">
        <v>33.33</v>
      </c>
      <c r="H21" s="26">
        <v>5.3333333333333339</v>
      </c>
      <c r="I21" s="26">
        <v>5.3333333333333339</v>
      </c>
      <c r="J21" s="26">
        <v>5.3333333333333339</v>
      </c>
      <c r="K21" s="26">
        <v>7</v>
      </c>
      <c r="L21" s="26">
        <v>4</v>
      </c>
      <c r="M21" s="26">
        <v>3</v>
      </c>
      <c r="N21" s="26">
        <v>8.2571900049667324</v>
      </c>
      <c r="O21" s="26">
        <v>7.8981429053677719</v>
      </c>
      <c r="P21" s="31">
        <v>9.159451968321493</v>
      </c>
      <c r="Q21" s="26">
        <v>45.8</v>
      </c>
      <c r="R21" s="26">
        <v>-43.6</v>
      </c>
      <c r="S21" s="26">
        <v>-19.899999999999999</v>
      </c>
    </row>
    <row r="22" spans="1:21" ht="15.75">
      <c r="A22" s="26" t="s">
        <v>45</v>
      </c>
      <c r="B22" s="26" t="s">
        <v>21</v>
      </c>
      <c r="C22" s="26">
        <v>1481.9390000000001</v>
      </c>
      <c r="D22" s="26">
        <v>14.45</v>
      </c>
      <c r="E22" s="26">
        <v>2</v>
      </c>
      <c r="F22" s="26">
        <v>5</v>
      </c>
      <c r="G22" s="26">
        <v>33.33</v>
      </c>
      <c r="H22" s="26">
        <v>6.3333333333333339</v>
      </c>
      <c r="I22" s="26">
        <v>6.3333333333333339</v>
      </c>
      <c r="J22" s="26">
        <v>6</v>
      </c>
      <c r="K22" s="26">
        <v>8</v>
      </c>
      <c r="L22" s="26">
        <v>4.3333333333333339</v>
      </c>
      <c r="M22" s="26">
        <v>3.3333333333333335</v>
      </c>
      <c r="N22" s="26">
        <v>8.2258879122710713</v>
      </c>
      <c r="O22" s="26">
        <v>8.4711344847468819</v>
      </c>
      <c r="P22" s="31">
        <v>10.591989273306634</v>
      </c>
      <c r="Q22" s="26">
        <v>42.6</v>
      </c>
      <c r="R22" s="26">
        <v>-43.5</v>
      </c>
      <c r="S22" s="26">
        <v>-18.600000000000001</v>
      </c>
    </row>
    <row r="23" spans="1:21" ht="15.75">
      <c r="A23" s="22" t="s">
        <v>74</v>
      </c>
      <c r="B23" s="30" t="s">
        <v>25</v>
      </c>
      <c r="C23" s="22">
        <v>1599.1004</v>
      </c>
      <c r="D23" s="22">
        <v>23.26</v>
      </c>
      <c r="E23" s="29">
        <v>1</v>
      </c>
      <c r="F23" s="29">
        <v>5</v>
      </c>
      <c r="G23" s="23">
        <v>28.57</v>
      </c>
      <c r="H23" s="26">
        <v>2.6666666666666665</v>
      </c>
      <c r="I23" s="26">
        <v>2.3333333333333335</v>
      </c>
      <c r="J23" s="26">
        <v>2.6666666666666665</v>
      </c>
      <c r="K23" s="26">
        <v>4</v>
      </c>
      <c r="L23" s="26">
        <v>2.6666666666666665</v>
      </c>
      <c r="M23" s="26">
        <v>4.3333333333333339</v>
      </c>
      <c r="N23" s="26">
        <v>1.8482564930835654</v>
      </c>
      <c r="O23" s="26">
        <v>2.0507137500416803</v>
      </c>
      <c r="P23" s="26">
        <f>LOG(1.4,2)</f>
        <v>0.48542682717024171</v>
      </c>
      <c r="Q23" s="26">
        <v>99</v>
      </c>
      <c r="R23" s="22">
        <v>-48.7</v>
      </c>
      <c r="S23" s="22">
        <v>-48.2</v>
      </c>
    </row>
    <row r="24" spans="1:21" ht="15.75">
      <c r="A24" s="22" t="s">
        <v>75</v>
      </c>
      <c r="B24" s="26" t="s">
        <v>39</v>
      </c>
      <c r="C24" s="22">
        <v>1601.116</v>
      </c>
      <c r="D24" s="22">
        <v>21.67</v>
      </c>
      <c r="E24" s="29">
        <v>0</v>
      </c>
      <c r="F24" s="29">
        <v>5</v>
      </c>
      <c r="G24" s="23">
        <v>25</v>
      </c>
      <c r="H24" s="26">
        <v>2.6666666666666665</v>
      </c>
      <c r="I24" s="26">
        <v>2.6666666666666665</v>
      </c>
      <c r="J24" s="26">
        <v>3</v>
      </c>
      <c r="K24" s="26">
        <v>3.6666666666666665</v>
      </c>
      <c r="L24" s="26">
        <v>3.3333333333333335</v>
      </c>
      <c r="M24" s="26">
        <v>4.666666666666667</v>
      </c>
      <c r="N24" s="26">
        <v>1.8927216543299505</v>
      </c>
      <c r="O24" s="26">
        <v>2.5432743707309733</v>
      </c>
      <c r="P24" s="26">
        <f>LOG(1.4,2)</f>
        <v>0.48542682717024171</v>
      </c>
      <c r="Q24" s="26">
        <v>81.8</v>
      </c>
      <c r="R24" s="22">
        <v>-51.5</v>
      </c>
      <c r="S24" s="22">
        <v>-42.1</v>
      </c>
    </row>
    <row r="25" spans="1:21" ht="15.75">
      <c r="A25" s="26" t="s">
        <v>76</v>
      </c>
      <c r="B25" s="30" t="s">
        <v>31</v>
      </c>
      <c r="C25" s="24">
        <v>1598.146</v>
      </c>
      <c r="D25" s="22">
        <v>18.12</v>
      </c>
      <c r="E25" s="29">
        <v>2</v>
      </c>
      <c r="F25" s="29">
        <v>5</v>
      </c>
      <c r="G25" s="23">
        <v>42.86</v>
      </c>
      <c r="H25" s="26">
        <v>4</v>
      </c>
      <c r="I25" s="26">
        <v>3</v>
      </c>
      <c r="J25" s="26">
        <v>4</v>
      </c>
      <c r="K25" s="26">
        <v>6</v>
      </c>
      <c r="L25" s="26">
        <v>2.3333333333333335</v>
      </c>
      <c r="M25" s="26">
        <v>3</v>
      </c>
      <c r="N25" s="26">
        <v>4.1796604557049486</v>
      </c>
      <c r="O25" s="26">
        <v>4.2231523549254684</v>
      </c>
      <c r="P25" s="26">
        <f>LOG(76.4,2)</f>
        <v>6.2555007331483869</v>
      </c>
      <c r="Q25" s="26">
        <v>18.8</v>
      </c>
      <c r="R25" s="26">
        <v>-18</v>
      </c>
      <c r="S25" s="26">
        <v>-10.6</v>
      </c>
    </row>
    <row r="26" spans="1:21" ht="15.75">
      <c r="A26" s="26" t="s">
        <v>73</v>
      </c>
      <c r="B26" s="30" t="s">
        <v>31</v>
      </c>
      <c r="C26" s="22">
        <v>1629.1473000000001</v>
      </c>
      <c r="D26" s="26">
        <v>17.88</v>
      </c>
      <c r="E26" s="26">
        <v>0</v>
      </c>
      <c r="F26" s="26">
        <v>5</v>
      </c>
      <c r="G26" s="23">
        <v>42.86</v>
      </c>
      <c r="H26" s="26">
        <v>4</v>
      </c>
      <c r="I26" s="26">
        <v>3</v>
      </c>
      <c r="J26" s="26">
        <v>4.3333333333333339</v>
      </c>
      <c r="K26" s="26">
        <v>6</v>
      </c>
      <c r="L26" s="26">
        <v>8</v>
      </c>
      <c r="M26" s="26">
        <v>5</v>
      </c>
      <c r="N26" s="26">
        <v>3.8388139656867271</v>
      </c>
      <c r="O26" s="26">
        <v>3.8762127767606001</v>
      </c>
      <c r="P26" s="26">
        <f>LOG(32.7,2)</f>
        <v>5.0312187306107212</v>
      </c>
      <c r="Q26" s="26">
        <v>5.7</v>
      </c>
      <c r="R26" s="26">
        <v>2.1</v>
      </c>
      <c r="S26" s="26">
        <v>-2.9</v>
      </c>
    </row>
    <row r="27" spans="1:21" ht="15.75">
      <c r="A27" s="5" t="s">
        <v>77</v>
      </c>
      <c r="B27" s="30" t="s">
        <v>25</v>
      </c>
      <c r="C27" s="17">
        <v>1616.2049999999999</v>
      </c>
      <c r="D27" s="17">
        <v>21.44</v>
      </c>
      <c r="E27" s="17">
        <v>0</v>
      </c>
      <c r="F27" s="17">
        <v>5</v>
      </c>
      <c r="G27" s="17">
        <v>28.57</v>
      </c>
      <c r="H27" s="17">
        <v>2.6666666666666665</v>
      </c>
      <c r="I27" s="17">
        <v>2.6666666666666665</v>
      </c>
      <c r="J27" s="17">
        <v>3.3333333333333335</v>
      </c>
      <c r="K27" s="17">
        <v>4</v>
      </c>
      <c r="L27" s="17">
        <v>3.3333333333333335</v>
      </c>
      <c r="M27" s="17">
        <v>4.3333333333333339</v>
      </c>
      <c r="N27" s="17">
        <v>2.0984509295281182</v>
      </c>
      <c r="O27" s="17">
        <v>2.1705677045331981</v>
      </c>
      <c r="P27" s="17">
        <f>LOG(1.6,2)</f>
        <v>0.67807190511263782</v>
      </c>
      <c r="Q27" s="17">
        <v>79.8</v>
      </c>
      <c r="R27" s="17">
        <v>-43.5</v>
      </c>
      <c r="S27" s="17">
        <v>-34.700000000000003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86409D-B7C9-468B-B297-875BA2F2163E}">
  <dimension ref="A1:W51"/>
  <sheetViews>
    <sheetView workbookViewId="0">
      <selection activeCell="H2" sqref="H2"/>
    </sheetView>
  </sheetViews>
  <sheetFormatPr defaultRowHeight="15"/>
  <cols>
    <col min="1" max="1" width="13.5703125" style="5" customWidth="1"/>
    <col min="2" max="2" width="19.28515625" style="5" customWidth="1"/>
    <col min="5" max="6" width="9.140625" style="5"/>
    <col min="7" max="7" width="12" style="5" bestFit="1" customWidth="1"/>
    <col min="8" max="9" width="11.5703125" style="5" bestFit="1" customWidth="1"/>
    <col min="10" max="10" width="13" style="5" bestFit="1" customWidth="1"/>
    <col min="11" max="11" width="12" style="5" bestFit="1" customWidth="1"/>
    <col min="12" max="12" width="11.5703125" style="5" bestFit="1" customWidth="1"/>
    <col min="13" max="13" width="12.5703125" style="5" bestFit="1" customWidth="1"/>
    <col min="14" max="21" width="9.140625" style="5"/>
    <col min="23" max="16384" width="9.140625" style="5"/>
  </cols>
  <sheetData>
    <row r="1" spans="1:22">
      <c r="A1" s="1"/>
      <c r="B1" s="2" t="s">
        <v>0</v>
      </c>
      <c r="C1" t="s">
        <v>1</v>
      </c>
      <c r="D1" t="s">
        <v>2</v>
      </c>
      <c r="E1" s="2" t="s">
        <v>3</v>
      </c>
      <c r="F1" s="2" t="s">
        <v>4</v>
      </c>
      <c r="G1" s="2" t="s">
        <v>5</v>
      </c>
      <c r="H1" s="3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13</v>
      </c>
      <c r="O1" s="4" t="s">
        <v>12</v>
      </c>
      <c r="P1" s="2" t="s">
        <v>14</v>
      </c>
      <c r="Q1" s="2" t="s">
        <v>15</v>
      </c>
      <c r="R1" s="2" t="s">
        <v>16</v>
      </c>
      <c r="S1" s="2" t="s">
        <v>17</v>
      </c>
      <c r="T1" s="2"/>
      <c r="V1" s="5"/>
    </row>
    <row r="2" spans="1:22">
      <c r="A2" t="s">
        <v>18</v>
      </c>
      <c r="B2" t="s">
        <v>19</v>
      </c>
      <c r="C2">
        <v>1479.787</v>
      </c>
      <c r="D2">
        <v>22.89</v>
      </c>
      <c r="E2" s="5">
        <v>0</v>
      </c>
      <c r="F2" s="5">
        <v>1</v>
      </c>
      <c r="G2" s="5">
        <v>0</v>
      </c>
      <c r="H2" s="5" cm="1">
        <f t="array" ref="H2:O5">Sheet2!B2:I5</f>
        <v>6</v>
      </c>
      <c r="I2" s="5">
        <v>5.666666666666667</v>
      </c>
      <c r="J2" s="5">
        <v>6.666666666666667</v>
      </c>
      <c r="K2" s="5">
        <v>7.666666666666667</v>
      </c>
      <c r="L2" s="5">
        <v>5.666666666666667</v>
      </c>
      <c r="M2" s="5">
        <v>4.666666666666667</v>
      </c>
      <c r="N2" s="5">
        <v>6.0145555571813283</v>
      </c>
      <c r="O2" s="5">
        <v>5.8101553883631594</v>
      </c>
      <c r="P2" s="5">
        <v>5.1292830169449664</v>
      </c>
      <c r="Q2" s="5">
        <v>83.5</v>
      </c>
      <c r="R2" s="5">
        <v>-23.4</v>
      </c>
      <c r="S2" s="5">
        <v>-19.5</v>
      </c>
      <c r="T2" s="5">
        <f>2^P2</f>
        <v>34.999999999999993</v>
      </c>
      <c r="V2" s="5"/>
    </row>
    <row r="3" spans="1:22">
      <c r="A3" t="s">
        <v>20</v>
      </c>
      <c r="B3" t="s">
        <v>21</v>
      </c>
      <c r="C3" s="7">
        <v>1481.9390000000001</v>
      </c>
      <c r="D3">
        <v>16.28</v>
      </c>
      <c r="E3" s="8">
        <v>2</v>
      </c>
      <c r="F3" s="8">
        <v>5</v>
      </c>
      <c r="G3" s="8">
        <v>33.33</v>
      </c>
      <c r="H3" s="4">
        <v>4.666666666666667</v>
      </c>
      <c r="I3" s="4">
        <v>4</v>
      </c>
      <c r="J3" s="5">
        <v>4.666666666666667</v>
      </c>
      <c r="K3" s="4">
        <v>6.666666666666667</v>
      </c>
      <c r="L3" s="4">
        <v>3.6666666666666665</v>
      </c>
      <c r="M3" s="4">
        <v>2.6666666666666665</v>
      </c>
      <c r="N3" s="4">
        <v>6.9285302342749526</v>
      </c>
      <c r="O3" s="4">
        <v>6.894825195277658</v>
      </c>
      <c r="P3" s="4">
        <v>7.7279204545631996</v>
      </c>
      <c r="Q3" s="4">
        <v>55.7</v>
      </c>
      <c r="R3" s="4">
        <v>-57.1</v>
      </c>
      <c r="S3" s="4">
        <v>-31.8</v>
      </c>
      <c r="T3" s="5">
        <f t="shared" ref="T3:T22" si="0">2^P3</f>
        <v>211.99999999999997</v>
      </c>
      <c r="U3" s="8"/>
      <c r="V3" s="5"/>
    </row>
    <row r="4" spans="1:22">
      <c r="A4" t="s">
        <v>22</v>
      </c>
      <c r="B4" t="s">
        <v>21</v>
      </c>
      <c r="C4" s="7">
        <v>1524.02</v>
      </c>
      <c r="D4">
        <v>18.37</v>
      </c>
      <c r="E4" s="8">
        <v>2</v>
      </c>
      <c r="F4" s="8">
        <v>5</v>
      </c>
      <c r="G4" s="8">
        <v>33.33</v>
      </c>
      <c r="H4" s="4">
        <v>3</v>
      </c>
      <c r="I4" s="4">
        <v>2.6666666666666665</v>
      </c>
      <c r="J4" s="4">
        <v>3.6666666666666665</v>
      </c>
      <c r="K4" s="4">
        <v>5.666666666666667</v>
      </c>
      <c r="L4" s="4">
        <v>2</v>
      </c>
      <c r="M4" s="4">
        <v>2.3333333333333335</v>
      </c>
      <c r="N4" s="4">
        <v>4.6641934167216741</v>
      </c>
      <c r="O4" s="4">
        <v>4.6644793040409205</v>
      </c>
      <c r="P4" s="4">
        <v>5.3680698765320827</v>
      </c>
      <c r="Q4" s="4">
        <v>67.5</v>
      </c>
      <c r="R4" s="4">
        <v>-58.8</v>
      </c>
      <c r="S4" s="4">
        <v>-39.700000000000003</v>
      </c>
      <c r="T4" s="5">
        <f t="shared" si="0"/>
        <v>41.29999999999999</v>
      </c>
      <c r="U4" s="8"/>
      <c r="V4" s="5"/>
    </row>
    <row r="5" spans="1:22">
      <c r="A5" t="s">
        <v>23</v>
      </c>
      <c r="B5" t="s">
        <v>21</v>
      </c>
      <c r="C5" s="7">
        <v>1550.1020000000001</v>
      </c>
      <c r="D5">
        <v>19.45</v>
      </c>
      <c r="E5" s="8">
        <v>2</v>
      </c>
      <c r="F5" s="8">
        <v>5</v>
      </c>
      <c r="G5" s="8">
        <v>33.33</v>
      </c>
      <c r="H5" s="4">
        <v>2.3333333333333335</v>
      </c>
      <c r="I5" s="4">
        <v>3</v>
      </c>
      <c r="J5" s="4">
        <v>3</v>
      </c>
      <c r="K5" s="4">
        <v>4.666666666666667</v>
      </c>
      <c r="L5" s="4">
        <v>2</v>
      </c>
      <c r="M5" s="4">
        <v>4.666666666666667</v>
      </c>
      <c r="N5" s="4">
        <v>2.9945497348547261</v>
      </c>
      <c r="O5" s="4">
        <v>3.2390771048393145</v>
      </c>
      <c r="P5" s="4">
        <v>1.8073549220576042</v>
      </c>
      <c r="Q5" s="4">
        <v>88</v>
      </c>
      <c r="R5" s="4">
        <v>-44.6</v>
      </c>
      <c r="S5" s="4">
        <v>-39.299999999999997</v>
      </c>
      <c r="T5" s="5">
        <f t="shared" si="0"/>
        <v>3.5</v>
      </c>
      <c r="U5" s="8"/>
      <c r="V5" s="5"/>
    </row>
    <row r="6" spans="1:22">
      <c r="A6" t="s">
        <v>24</v>
      </c>
      <c r="B6" t="s">
        <v>25</v>
      </c>
      <c r="C6" s="9">
        <v>1515.9559999999999</v>
      </c>
      <c r="D6">
        <v>17.18</v>
      </c>
      <c r="E6" s="8">
        <v>2</v>
      </c>
      <c r="F6" s="8">
        <v>5</v>
      </c>
      <c r="G6" s="8">
        <v>28.57</v>
      </c>
      <c r="H6" s="4" cm="1">
        <f t="array" ref="H6:O12">Sheet2!B7:I13</f>
        <v>4</v>
      </c>
      <c r="I6" s="4">
        <v>3.3333333333333335</v>
      </c>
      <c r="J6" s="4">
        <v>3.6666666666666665</v>
      </c>
      <c r="K6" s="4">
        <v>6</v>
      </c>
      <c r="L6" s="4">
        <v>3.3333333333333335</v>
      </c>
      <c r="M6" s="4">
        <v>2.6666666666666665</v>
      </c>
      <c r="N6" s="4">
        <v>6.5674963995373687</v>
      </c>
      <c r="O6" s="4">
        <v>6.0126818390869285</v>
      </c>
      <c r="P6" s="4">
        <v>7.2431739834729507</v>
      </c>
      <c r="Q6" s="4">
        <v>51.7</v>
      </c>
      <c r="R6" s="4">
        <v>-53.7</v>
      </c>
      <c r="S6" s="4">
        <v>-27.7</v>
      </c>
      <c r="T6" s="5">
        <f t="shared" si="0"/>
        <v>151.49999999999994</v>
      </c>
      <c r="U6" s="8"/>
      <c r="V6" s="5"/>
    </row>
    <row r="7" spans="1:22">
      <c r="A7" t="s">
        <v>26</v>
      </c>
      <c r="B7" t="s">
        <v>25</v>
      </c>
      <c r="C7" s="9">
        <v>1587.079</v>
      </c>
      <c r="D7">
        <v>15.13</v>
      </c>
      <c r="E7" s="8">
        <v>2</v>
      </c>
      <c r="F7" s="8">
        <v>6</v>
      </c>
      <c r="G7" s="8">
        <v>28.57</v>
      </c>
      <c r="H7" s="4">
        <v>4.666666666666667</v>
      </c>
      <c r="I7" s="4">
        <v>4</v>
      </c>
      <c r="J7" s="4">
        <v>4</v>
      </c>
      <c r="K7" s="4">
        <v>6.666666666666667</v>
      </c>
      <c r="L7" s="4">
        <v>3.3333333333333335</v>
      </c>
      <c r="M7" s="4">
        <v>3</v>
      </c>
      <c r="N7" s="4">
        <v>6.9333809147285717</v>
      </c>
      <c r="O7" s="4">
        <v>5.982090722595931</v>
      </c>
      <c r="P7" s="4">
        <v>7.8054214461717573</v>
      </c>
      <c r="Q7" s="4">
        <v>46.9</v>
      </c>
      <c r="R7" s="4">
        <v>-41.8</v>
      </c>
      <c r="S7" s="4">
        <v>-19.600000000000001</v>
      </c>
      <c r="T7" s="5">
        <f t="shared" si="0"/>
        <v>223.70000000000005</v>
      </c>
      <c r="U7" s="8"/>
      <c r="V7" s="5"/>
    </row>
    <row r="8" spans="1:22">
      <c r="A8" t="s">
        <v>27</v>
      </c>
      <c r="B8" t="s">
        <v>25</v>
      </c>
      <c r="C8" s="9">
        <v>1516.896</v>
      </c>
      <c r="D8">
        <v>19.170000000000002</v>
      </c>
      <c r="E8" s="8">
        <v>2</v>
      </c>
      <c r="F8" s="8">
        <v>3</v>
      </c>
      <c r="G8" s="8">
        <v>28.57</v>
      </c>
      <c r="H8" s="4">
        <v>5</v>
      </c>
      <c r="I8" s="4">
        <v>5</v>
      </c>
      <c r="J8" s="4">
        <v>5.3333333333333339</v>
      </c>
      <c r="K8" s="4">
        <v>6.666666666666667</v>
      </c>
      <c r="L8" s="4">
        <v>4</v>
      </c>
      <c r="M8" s="4">
        <v>3</v>
      </c>
      <c r="N8" s="4">
        <v>6.6773725194956786</v>
      </c>
      <c r="O8" s="4">
        <v>6.6707268834703353</v>
      </c>
      <c r="P8" s="4">
        <v>7.1618876823768947</v>
      </c>
      <c r="Q8" s="4">
        <v>70.7</v>
      </c>
      <c r="R8" s="4">
        <v>-54.2</v>
      </c>
      <c r="S8" s="4">
        <v>-38.299999999999997</v>
      </c>
      <c r="T8" s="5">
        <f t="shared" si="0"/>
        <v>143.19999999999999</v>
      </c>
      <c r="U8" s="8"/>
      <c r="V8" s="5"/>
    </row>
    <row r="9" spans="1:22">
      <c r="A9" t="s">
        <v>28</v>
      </c>
      <c r="B9" t="s">
        <v>25</v>
      </c>
      <c r="C9" s="9">
        <v>1502.8689999999999</v>
      </c>
      <c r="D9">
        <v>19.670000000000002</v>
      </c>
      <c r="E9" s="8">
        <v>2</v>
      </c>
      <c r="F9" s="8">
        <v>3</v>
      </c>
      <c r="G9" s="8">
        <v>28.57</v>
      </c>
      <c r="H9" s="4">
        <v>4</v>
      </c>
      <c r="I9" s="4">
        <v>3.6666666666666665</v>
      </c>
      <c r="J9" s="4">
        <v>4.3333333333333339</v>
      </c>
      <c r="K9" s="4">
        <v>6.3333333333333339</v>
      </c>
      <c r="L9" s="4">
        <v>3</v>
      </c>
      <c r="M9" s="4">
        <v>2.3333333333333335</v>
      </c>
      <c r="N9" s="4">
        <v>5.7036429389839043</v>
      </c>
      <c r="O9" s="4">
        <v>5.4373956814257571</v>
      </c>
      <c r="P9" s="4">
        <v>5.5484366246960422</v>
      </c>
      <c r="Q9" s="4">
        <v>73.099999999999994</v>
      </c>
      <c r="R9" s="4">
        <v>-54.7</v>
      </c>
      <c r="S9" s="4">
        <v>-40</v>
      </c>
      <c r="T9" s="5">
        <f t="shared" si="0"/>
        <v>46.799999999999983</v>
      </c>
      <c r="U9" s="8"/>
      <c r="V9" s="5"/>
    </row>
    <row r="10" spans="1:22">
      <c r="A10" t="s">
        <v>29</v>
      </c>
      <c r="B10" t="s">
        <v>25</v>
      </c>
      <c r="C10" s="9">
        <v>1548.0419999999999</v>
      </c>
      <c r="D10">
        <v>16.97</v>
      </c>
      <c r="E10" s="8">
        <v>0</v>
      </c>
      <c r="F10" s="8">
        <v>5</v>
      </c>
      <c r="G10" s="8">
        <v>28.57</v>
      </c>
      <c r="H10" s="4">
        <v>4</v>
      </c>
      <c r="I10" s="4">
        <v>4.666666666666667</v>
      </c>
      <c r="J10" s="4">
        <v>4.666666666666667</v>
      </c>
      <c r="K10" s="4">
        <v>6.3333333333333339</v>
      </c>
      <c r="L10" s="4">
        <v>2.5</v>
      </c>
      <c r="M10" s="4">
        <v>4</v>
      </c>
      <c r="N10" s="4">
        <v>5.6765851604554793</v>
      </c>
      <c r="O10" s="4">
        <v>4.7248703502845331</v>
      </c>
      <c r="P10" s="4">
        <v>5.9886846867721655</v>
      </c>
      <c r="Q10" s="4">
        <v>25.4</v>
      </c>
      <c r="R10" s="4">
        <v>-50.7</v>
      </c>
      <c r="S10" s="4">
        <v>-12.9</v>
      </c>
      <c r="T10" s="5">
        <f t="shared" si="0"/>
        <v>63.499999999999993</v>
      </c>
      <c r="U10" s="8"/>
      <c r="V10" s="5"/>
    </row>
    <row r="11" spans="1:22">
      <c r="A11" t="s">
        <v>30</v>
      </c>
      <c r="B11" t="s">
        <v>31</v>
      </c>
      <c r="C11" s="9">
        <v>1562.069</v>
      </c>
      <c r="D11">
        <v>13.72</v>
      </c>
      <c r="E11" s="8">
        <v>0</v>
      </c>
      <c r="F11" s="8">
        <v>5</v>
      </c>
      <c r="G11" s="8">
        <v>42.86</v>
      </c>
      <c r="H11" s="4">
        <v>8</v>
      </c>
      <c r="I11" s="4">
        <v>7.3333333333333339</v>
      </c>
      <c r="J11" s="4">
        <v>7.3333333333333339</v>
      </c>
      <c r="K11" s="4">
        <v>7.666666666666667</v>
      </c>
      <c r="L11" s="4">
        <v>8</v>
      </c>
      <c r="M11" s="4">
        <v>8</v>
      </c>
      <c r="N11" s="4">
        <v>8</v>
      </c>
      <c r="O11" s="4">
        <v>7</v>
      </c>
      <c r="P11" s="4">
        <v>8.7059779016825232</v>
      </c>
      <c r="Q11" s="4">
        <v>-1.5</v>
      </c>
      <c r="R11" s="4">
        <v>6.6</v>
      </c>
      <c r="S11" s="4">
        <v>0.8</v>
      </c>
      <c r="T11" s="5">
        <f t="shared" si="0"/>
        <v>417.60000000000019</v>
      </c>
      <c r="U11" s="8"/>
      <c r="V11" s="5"/>
    </row>
    <row r="12" spans="1:22" ht="15.75">
      <c r="A12" t="s">
        <v>32</v>
      </c>
      <c r="B12" t="s">
        <v>31</v>
      </c>
      <c r="C12" s="9">
        <v>1604.15</v>
      </c>
      <c r="D12">
        <v>15.2</v>
      </c>
      <c r="E12" s="8">
        <v>0</v>
      </c>
      <c r="F12" s="8">
        <v>5</v>
      </c>
      <c r="G12" s="8">
        <v>42.86</v>
      </c>
      <c r="H12" s="6">
        <v>7</v>
      </c>
      <c r="I12" s="6">
        <v>6</v>
      </c>
      <c r="J12" s="6">
        <v>7</v>
      </c>
      <c r="K12" s="6">
        <v>8</v>
      </c>
      <c r="L12" s="6">
        <v>8</v>
      </c>
      <c r="M12" s="6">
        <v>4</v>
      </c>
      <c r="N12" s="6">
        <v>6.1032552497000889</v>
      </c>
      <c r="O12" s="6">
        <v>6.878396594394844</v>
      </c>
      <c r="P12" s="6">
        <v>8.9509932319796413</v>
      </c>
      <c r="Q12" s="6">
        <v>0.3</v>
      </c>
      <c r="R12" s="6">
        <v>3.8</v>
      </c>
      <c r="S12" s="4">
        <v>-0.1</v>
      </c>
      <c r="T12" s="5">
        <f t="shared" si="0"/>
        <v>494.90000000000015</v>
      </c>
      <c r="U12" s="8"/>
      <c r="V12" s="5"/>
    </row>
    <row r="13" spans="1:22" s="6" customFormat="1" ht="15.75">
      <c r="A13" t="s">
        <v>33</v>
      </c>
      <c r="B13" t="s">
        <v>34</v>
      </c>
      <c r="C13" s="10">
        <v>1618.1769999999999</v>
      </c>
      <c r="D13">
        <v>15.99</v>
      </c>
      <c r="E13" s="11">
        <v>0</v>
      </c>
      <c r="F13" s="11">
        <v>5</v>
      </c>
      <c r="G13" s="6">
        <v>50</v>
      </c>
      <c r="H13" s="6" cm="1">
        <f t="array" ref="H13:O22">Sheet2!B15:I24</f>
        <v>6.3333333333333339</v>
      </c>
      <c r="I13" s="6">
        <v>4</v>
      </c>
      <c r="J13" s="6">
        <v>5.666666666666667</v>
      </c>
      <c r="K13" s="6">
        <v>7</v>
      </c>
      <c r="L13" s="6">
        <v>2</v>
      </c>
      <c r="M13" s="6">
        <v>2.5</v>
      </c>
      <c r="N13" s="6">
        <v>4.546237501059192</v>
      </c>
      <c r="O13" s="6">
        <v>4.337643970035546</v>
      </c>
      <c r="P13" s="6">
        <v>6.4296159642017363</v>
      </c>
      <c r="Q13" s="6">
        <v>-4.7</v>
      </c>
      <c r="R13" s="6">
        <v>-4.7</v>
      </c>
      <c r="S13" s="6">
        <v>2.4</v>
      </c>
      <c r="T13" s="5">
        <f t="shared" si="0"/>
        <v>86.200000000000031</v>
      </c>
    </row>
    <row r="14" spans="1:22" s="6" customFormat="1" ht="15.75">
      <c r="A14" t="s">
        <v>35</v>
      </c>
      <c r="B14" t="s">
        <v>21</v>
      </c>
      <c r="C14" s="9">
        <v>1548.0419999999999</v>
      </c>
      <c r="D14">
        <v>18.66</v>
      </c>
      <c r="E14" s="11">
        <v>0</v>
      </c>
      <c r="F14" s="11">
        <v>5</v>
      </c>
      <c r="G14" s="6">
        <v>33.33</v>
      </c>
      <c r="H14" s="5">
        <v>4</v>
      </c>
      <c r="I14" s="5">
        <v>2.8000000000000003</v>
      </c>
      <c r="J14" s="5">
        <v>3.6</v>
      </c>
      <c r="K14" s="5">
        <v>5.6000000000000005</v>
      </c>
      <c r="L14" s="5">
        <v>2.2000000000000002</v>
      </c>
      <c r="M14" s="5">
        <v>3.2000000000000006</v>
      </c>
      <c r="N14" s="5">
        <v>5.6544285579160087</v>
      </c>
      <c r="O14" s="5">
        <v>5.3974804958350004</v>
      </c>
      <c r="P14" s="5">
        <v>4.5360529002402101</v>
      </c>
      <c r="Q14" s="5">
        <v>44</v>
      </c>
      <c r="R14" s="5">
        <v>-49.2</v>
      </c>
      <c r="S14" s="6">
        <v>-21.6</v>
      </c>
      <c r="T14" s="5">
        <f t="shared" si="0"/>
        <v>23.200000000000003</v>
      </c>
    </row>
    <row r="15" spans="1:22" s="6" customFormat="1" ht="15.75">
      <c r="A15" t="s">
        <v>36</v>
      </c>
      <c r="B15" t="s">
        <v>21</v>
      </c>
      <c r="C15" s="9">
        <v>1590.123</v>
      </c>
      <c r="D15">
        <v>20.85</v>
      </c>
      <c r="E15" s="11">
        <v>0</v>
      </c>
      <c r="F15" s="11">
        <v>5</v>
      </c>
      <c r="G15" s="6">
        <v>33.33</v>
      </c>
      <c r="H15" s="4">
        <v>2.3333333333333335</v>
      </c>
      <c r="I15" s="4">
        <v>2</v>
      </c>
      <c r="J15" s="4">
        <v>2.6666666666666665</v>
      </c>
      <c r="K15" s="4">
        <v>4.3333333333333339</v>
      </c>
      <c r="L15" s="4">
        <v>2</v>
      </c>
      <c r="M15" s="4">
        <v>3.6666666666666665</v>
      </c>
      <c r="N15" s="4">
        <v>3.8842362691082677</v>
      </c>
      <c r="O15" s="4">
        <v>4.1585675080185984</v>
      </c>
      <c r="P15" s="4">
        <v>2.7655347463629774</v>
      </c>
      <c r="Q15" s="4">
        <v>55.7</v>
      </c>
      <c r="R15" s="4">
        <v>-46.4</v>
      </c>
      <c r="S15" s="6">
        <v>-25.8</v>
      </c>
      <c r="T15" s="5">
        <f t="shared" si="0"/>
        <v>6.8000000000000007</v>
      </c>
    </row>
    <row r="16" spans="1:22">
      <c r="A16" t="s">
        <v>37</v>
      </c>
      <c r="B16" t="s">
        <v>21</v>
      </c>
      <c r="C16">
        <v>1616.2049999999999</v>
      </c>
      <c r="D16">
        <v>22.1</v>
      </c>
      <c r="E16" s="5">
        <v>0</v>
      </c>
      <c r="F16" s="5">
        <v>5</v>
      </c>
      <c r="G16" s="5">
        <v>33.33</v>
      </c>
      <c r="H16" s="4">
        <v>2.3333333333333335</v>
      </c>
      <c r="I16" s="4">
        <v>2.3333333333333335</v>
      </c>
      <c r="J16" s="4">
        <v>2.3333333333333335</v>
      </c>
      <c r="K16" s="4">
        <v>4</v>
      </c>
      <c r="L16" s="4">
        <v>3.6666666666666665</v>
      </c>
      <c r="M16" s="4">
        <v>4.3333333333333339</v>
      </c>
      <c r="N16" s="4">
        <v>2.7513563921658837</v>
      </c>
      <c r="O16" s="4">
        <v>3.2700025897517606</v>
      </c>
      <c r="P16" s="4">
        <v>0.76553474636297703</v>
      </c>
      <c r="Q16" s="4">
        <v>76.099999999999994</v>
      </c>
      <c r="R16" s="4">
        <v>-36.5</v>
      </c>
      <c r="S16" s="5">
        <v>-27.7</v>
      </c>
      <c r="T16" s="5">
        <f t="shared" si="0"/>
        <v>1.7</v>
      </c>
      <c r="V16" s="5"/>
    </row>
    <row r="17" spans="1:23">
      <c r="A17" t="s">
        <v>38</v>
      </c>
      <c r="B17" t="s">
        <v>39</v>
      </c>
      <c r="C17">
        <v>1534.0150000000001</v>
      </c>
      <c r="D17">
        <v>14.92</v>
      </c>
      <c r="E17" s="8">
        <v>0</v>
      </c>
      <c r="F17" s="8">
        <v>5</v>
      </c>
      <c r="G17" s="8">
        <v>25</v>
      </c>
      <c r="H17" s="4">
        <v>6</v>
      </c>
      <c r="I17" s="4">
        <v>5.666666666666667</v>
      </c>
      <c r="J17" s="4">
        <v>6</v>
      </c>
      <c r="K17" s="4">
        <v>7.666666666666667</v>
      </c>
      <c r="L17" s="4">
        <v>4.75</v>
      </c>
      <c r="M17" s="4">
        <v>3.6666666666666665</v>
      </c>
      <c r="N17" s="4">
        <v>6.9634622171825109</v>
      </c>
      <c r="O17" s="4">
        <v>6.4925371194936705</v>
      </c>
      <c r="P17" s="4">
        <v>8.8920873965234826</v>
      </c>
      <c r="Q17" s="5">
        <v>23.1</v>
      </c>
      <c r="R17" s="5">
        <v>-48.9</v>
      </c>
      <c r="S17" s="4">
        <v>-11.3</v>
      </c>
      <c r="T17" s="5">
        <f t="shared" si="0"/>
        <v>475.10000000000042</v>
      </c>
      <c r="U17" s="8"/>
      <c r="V17" s="5"/>
    </row>
    <row r="18" spans="1:23">
      <c r="A18" t="s">
        <v>40</v>
      </c>
      <c r="B18" t="s">
        <v>34</v>
      </c>
      <c r="C18">
        <v>1644.259</v>
      </c>
      <c r="D18">
        <v>17.75</v>
      </c>
      <c r="E18" s="8">
        <v>0</v>
      </c>
      <c r="F18" s="8">
        <v>5</v>
      </c>
      <c r="G18" s="8">
        <v>50</v>
      </c>
      <c r="H18" s="4">
        <v>4</v>
      </c>
      <c r="I18" s="4">
        <v>4.3333333333333339</v>
      </c>
      <c r="J18" s="4">
        <v>4.666666666666667</v>
      </c>
      <c r="K18" s="4">
        <v>6.666666666666667</v>
      </c>
      <c r="L18" s="4">
        <v>2.3333333333333335</v>
      </c>
      <c r="M18" s="4">
        <v>4</v>
      </c>
      <c r="N18" s="4">
        <v>2.4423102831456922</v>
      </c>
      <c r="O18" s="4">
        <v>2.7991044519686374</v>
      </c>
      <c r="P18" s="4">
        <v>2.2016338611696504</v>
      </c>
      <c r="Q18" s="5">
        <v>-5</v>
      </c>
      <c r="R18" s="5">
        <v>1</v>
      </c>
      <c r="S18" s="4">
        <v>2.5</v>
      </c>
      <c r="T18" s="5">
        <f t="shared" si="0"/>
        <v>4.5999999999999996</v>
      </c>
      <c r="U18" s="8"/>
      <c r="V18" s="5"/>
    </row>
    <row r="19" spans="1:23">
      <c r="A19" t="s">
        <v>41</v>
      </c>
      <c r="B19" t="s">
        <v>39</v>
      </c>
      <c r="C19">
        <v>1542.038</v>
      </c>
      <c r="D19">
        <v>18.920000000000002</v>
      </c>
      <c r="E19" s="5">
        <v>2</v>
      </c>
      <c r="F19" s="5">
        <v>5</v>
      </c>
      <c r="G19" s="5">
        <v>25</v>
      </c>
      <c r="H19" s="4">
        <v>3.3333333333333335</v>
      </c>
      <c r="I19" s="4">
        <v>3.3333333333333335</v>
      </c>
      <c r="J19" s="4">
        <v>3.6666666666666665</v>
      </c>
      <c r="K19" s="4">
        <v>5.666666666666667</v>
      </c>
      <c r="L19" s="4">
        <v>2.6666666666666665</v>
      </c>
      <c r="M19" s="4">
        <v>3.3333333333333335</v>
      </c>
      <c r="N19" s="4">
        <v>3.77332579366829</v>
      </c>
      <c r="O19" s="4">
        <v>3.6490937489357052</v>
      </c>
      <c r="P19" s="4">
        <v>2.9634741239748865</v>
      </c>
      <c r="Q19" s="5">
        <v>80.5</v>
      </c>
      <c r="R19" s="5">
        <v>-37.700000000000003</v>
      </c>
      <c r="S19" s="5">
        <v>-30.3</v>
      </c>
      <c r="T19" s="5">
        <f t="shared" si="0"/>
        <v>7.8000000000000016</v>
      </c>
      <c r="V19" s="5"/>
    </row>
    <row r="20" spans="1:23">
      <c r="A20" t="s">
        <v>42</v>
      </c>
      <c r="B20" t="s">
        <v>43</v>
      </c>
      <c r="C20">
        <v>1465.94</v>
      </c>
      <c r="D20">
        <v>13.95</v>
      </c>
      <c r="E20" s="5">
        <v>2</v>
      </c>
      <c r="F20" s="5">
        <v>5</v>
      </c>
      <c r="G20" s="5">
        <v>33.33</v>
      </c>
      <c r="H20" s="5">
        <v>6.3333333333333339</v>
      </c>
      <c r="I20" s="5">
        <v>6.666666666666667</v>
      </c>
      <c r="J20" s="5">
        <v>6.3333333333333339</v>
      </c>
      <c r="K20" s="5">
        <v>8</v>
      </c>
      <c r="L20" s="5">
        <v>5</v>
      </c>
      <c r="M20" s="5">
        <v>3.3333333333333335</v>
      </c>
      <c r="N20" s="5">
        <v>8.8494485504556231</v>
      </c>
      <c r="O20" s="5">
        <v>9.0111985182722041</v>
      </c>
      <c r="P20" s="5">
        <v>10.280770770130603</v>
      </c>
      <c r="Q20" s="5">
        <v>57.1</v>
      </c>
      <c r="R20" s="5">
        <v>-29.1</v>
      </c>
      <c r="S20" s="5">
        <v>-16.600000000000001</v>
      </c>
      <c r="T20" s="5">
        <f t="shared" si="0"/>
        <v>1244</v>
      </c>
      <c r="V20" s="5"/>
    </row>
    <row r="21" spans="1:23">
      <c r="A21" t="s">
        <v>44</v>
      </c>
      <c r="B21" t="s">
        <v>43</v>
      </c>
      <c r="C21">
        <v>1481.9390000000001</v>
      </c>
      <c r="D21">
        <v>15.12</v>
      </c>
      <c r="E21" s="5">
        <v>2</v>
      </c>
      <c r="F21" s="5">
        <v>5</v>
      </c>
      <c r="G21" s="5">
        <v>33.33</v>
      </c>
      <c r="H21" s="5">
        <v>5.3333333333333339</v>
      </c>
      <c r="I21" s="5">
        <v>5.3333333333333339</v>
      </c>
      <c r="J21" s="5">
        <v>5.3333333333333339</v>
      </c>
      <c r="K21" s="5">
        <v>7</v>
      </c>
      <c r="L21" s="5">
        <v>4</v>
      </c>
      <c r="M21" s="5">
        <v>3</v>
      </c>
      <c r="N21" s="5">
        <v>8.2571900049667324</v>
      </c>
      <c r="O21" s="5">
        <v>7.8981429053677719</v>
      </c>
      <c r="P21" s="5">
        <v>9.4458425538893422</v>
      </c>
      <c r="Q21" s="5">
        <v>45.8</v>
      </c>
      <c r="R21" s="5">
        <v>-43.6</v>
      </c>
      <c r="S21" s="5">
        <v>-19.899999999999999</v>
      </c>
      <c r="T21" s="5">
        <f t="shared" si="0"/>
        <v>697.39999999999975</v>
      </c>
      <c r="V21" s="5"/>
    </row>
    <row r="22" spans="1:23">
      <c r="A22" t="s">
        <v>45</v>
      </c>
      <c r="B22" t="s">
        <v>43</v>
      </c>
      <c r="C22">
        <v>1481.9390000000001</v>
      </c>
      <c r="D22">
        <v>14.45</v>
      </c>
      <c r="E22" s="5">
        <v>2</v>
      </c>
      <c r="F22" s="5">
        <v>5</v>
      </c>
      <c r="G22" s="5">
        <v>33.33</v>
      </c>
      <c r="H22" s="5">
        <v>6.3333333333333339</v>
      </c>
      <c r="I22" s="5">
        <v>6.3333333333333339</v>
      </c>
      <c r="J22" s="5">
        <v>6</v>
      </c>
      <c r="K22" s="5">
        <v>8</v>
      </c>
      <c r="L22" s="5">
        <v>4.3333333333333339</v>
      </c>
      <c r="M22" s="5">
        <v>3.3333333333333335</v>
      </c>
      <c r="N22" s="5">
        <v>8.2258879122710713</v>
      </c>
      <c r="O22" s="5">
        <v>8.4711344847468819</v>
      </c>
      <c r="P22" s="5">
        <v>10.483513505019364</v>
      </c>
      <c r="Q22" s="5">
        <v>42.6</v>
      </c>
      <c r="R22" s="5">
        <v>-43.5</v>
      </c>
      <c r="S22" s="5">
        <v>-18.600000000000001</v>
      </c>
      <c r="T22" s="5">
        <f t="shared" si="0"/>
        <v>1431.6999999999994</v>
      </c>
    </row>
    <row r="26" spans="1:23">
      <c r="S26" s="5" t="s">
        <v>60</v>
      </c>
      <c r="V26" t="s">
        <v>59</v>
      </c>
    </row>
    <row r="27" spans="1:23">
      <c r="H27">
        <f>2^($P20-H20)</f>
        <v>15.427553973815941</v>
      </c>
      <c r="I27">
        <f t="shared" ref="I27:P27" si="1">2^($P20-I20)</f>
        <v>12.244857703665804</v>
      </c>
      <c r="J27">
        <f t="shared" si="1"/>
        <v>15.427553973815941</v>
      </c>
      <c r="K27">
        <f t="shared" si="1"/>
        <v>4.8593750000000018</v>
      </c>
      <c r="L27">
        <f t="shared" si="1"/>
        <v>38.875000000000014</v>
      </c>
      <c r="M27">
        <f t="shared" si="1"/>
        <v>123.4204317905275</v>
      </c>
      <c r="N27">
        <f t="shared" si="1"/>
        <v>2.6969377455517574</v>
      </c>
      <c r="O27">
        <f t="shared" si="1"/>
        <v>2.410900735613132</v>
      </c>
      <c r="P27">
        <f t="shared" si="1"/>
        <v>1</v>
      </c>
      <c r="S27" s="5">
        <v>8.32</v>
      </c>
      <c r="T27" s="5">
        <v>7.5</v>
      </c>
      <c r="V27">
        <v>8.8917837032183105</v>
      </c>
      <c r="W27" s="5">
        <v>8.5507467853832431</v>
      </c>
    </row>
    <row r="28" spans="1:23" ht="15.75">
      <c r="B28" s="26">
        <v>1.4</v>
      </c>
      <c r="C28">
        <f>2^B28</f>
        <v>2.6390158215457884</v>
      </c>
      <c r="H28">
        <f t="shared" ref="H28:P28" si="2">2^($P21-H21)</f>
        <v>17.297710838165965</v>
      </c>
      <c r="I28">
        <f t="shared" si="2"/>
        <v>17.297710838165965</v>
      </c>
      <c r="J28">
        <f t="shared" si="2"/>
        <v>17.297710838165965</v>
      </c>
      <c r="K28">
        <f t="shared" si="2"/>
        <v>5.4484374999999998</v>
      </c>
      <c r="L28">
        <f t="shared" si="2"/>
        <v>43.587499999999991</v>
      </c>
      <c r="M28">
        <f t="shared" si="2"/>
        <v>87.175000000000026</v>
      </c>
      <c r="N28">
        <f t="shared" si="2"/>
        <v>2.2793975211802926</v>
      </c>
      <c r="O28">
        <f t="shared" si="2"/>
        <v>2.9235061951742383</v>
      </c>
      <c r="P28">
        <f t="shared" si="2"/>
        <v>1</v>
      </c>
      <c r="S28" s="5">
        <v>7.73</v>
      </c>
      <c r="T28" s="5">
        <v>7.04</v>
      </c>
      <c r="V28">
        <v>8.6073303137496104</v>
      </c>
      <c r="W28" s="5">
        <v>7.6438561897747244</v>
      </c>
    </row>
    <row r="29" spans="1:23" ht="15.75">
      <c r="B29" s="26">
        <v>1.4</v>
      </c>
      <c r="C29">
        <f t="shared" ref="C29:C31" si="3">2^B29</f>
        <v>2.6390158215457884</v>
      </c>
      <c r="H29">
        <f t="shared" ref="H29:P29" si="4">2^($P22-H22)</f>
        <v>17.755328797678668</v>
      </c>
      <c r="I29">
        <f t="shared" si="4"/>
        <v>17.755328797678668</v>
      </c>
      <c r="J29">
        <f t="shared" si="4"/>
        <v>22.370312500000001</v>
      </c>
      <c r="K29">
        <f t="shared" si="4"/>
        <v>5.5925781250000002</v>
      </c>
      <c r="L29">
        <f t="shared" si="4"/>
        <v>71.021315190714688</v>
      </c>
      <c r="M29">
        <f t="shared" si="4"/>
        <v>142.0426303814294</v>
      </c>
      <c r="N29">
        <f t="shared" si="4"/>
        <v>4.7820379947540097</v>
      </c>
      <c r="O29">
        <f t="shared" si="4"/>
        <v>4.0344696034387955</v>
      </c>
      <c r="P29">
        <f t="shared" si="4"/>
        <v>1</v>
      </c>
      <c r="S29" s="5">
        <v>8.0299999999999994</v>
      </c>
      <c r="T29" s="5">
        <v>7.26</v>
      </c>
      <c r="V29">
        <v>8.8137811912170374</v>
      </c>
      <c r="W29" s="5">
        <v>8.6073303137496104</v>
      </c>
    </row>
    <row r="30" spans="1:23" ht="15.75">
      <c r="B30" s="26">
        <f>LOG(76.4,2)</f>
        <v>6.2555007331483869</v>
      </c>
      <c r="C30">
        <f t="shared" si="3"/>
        <v>76.399999999999991</v>
      </c>
    </row>
    <row r="31" spans="1:23" ht="15.75">
      <c r="B31" s="26">
        <f>LOG(32.7,2)</f>
        <v>5.0312187306107212</v>
      </c>
      <c r="C31">
        <f t="shared" si="3"/>
        <v>32.700000000000024</v>
      </c>
      <c r="H31">
        <f>2^($P6-H6)</f>
        <v>9.4687499999999964</v>
      </c>
      <c r="I31">
        <f t="shared" ref="I31:P31" si="5">2^($P6-I6)</f>
        <v>15.030703710823882</v>
      </c>
      <c r="J31">
        <f t="shared" si="5"/>
        <v>11.929877441192078</v>
      </c>
      <c r="K31">
        <f t="shared" si="5"/>
        <v>2.3671874999999996</v>
      </c>
      <c r="L31">
        <f t="shared" si="5"/>
        <v>15.030703710823882</v>
      </c>
      <c r="M31">
        <f>2^($P6-M6)</f>
        <v>23.859754882384149</v>
      </c>
      <c r="N31">
        <f t="shared" si="5"/>
        <v>1.5973468150871659</v>
      </c>
      <c r="O31">
        <f t="shared" si="5"/>
        <v>2.3464702097994419</v>
      </c>
      <c r="P31">
        <f t="shared" si="5"/>
        <v>1</v>
      </c>
    </row>
    <row r="32" spans="1:23">
      <c r="S32" s="5" t="s">
        <v>61</v>
      </c>
    </row>
    <row r="33" spans="7:20">
      <c r="H33" s="5">
        <f>H27/H$31</f>
        <v>1.6293126308980539</v>
      </c>
      <c r="I33" s="5">
        <f t="shared" ref="I33:P33" si="6">I27/I$31</f>
        <v>0.81465631544902717</v>
      </c>
      <c r="J33" s="5">
        <f t="shared" si="6"/>
        <v>1.2931862921363224</v>
      </c>
      <c r="K33" s="5">
        <f t="shared" si="6"/>
        <v>2.0528052805280539</v>
      </c>
      <c r="L33" s="5">
        <f t="shared" si="6"/>
        <v>2.5863725842726462</v>
      </c>
      <c r="M33" s="5">
        <f t="shared" si="6"/>
        <v>5.1727451685452905</v>
      </c>
      <c r="N33" s="5">
        <f t="shared" si="6"/>
        <v>1.6883858408698724</v>
      </c>
      <c r="O33" s="5">
        <f t="shared" si="6"/>
        <v>1.0274584887311213</v>
      </c>
      <c r="P33" s="5">
        <f t="shared" si="6"/>
        <v>1</v>
      </c>
      <c r="S33" s="5">
        <f>ABS(S27-V27)</f>
        <v>0.57178370321831018</v>
      </c>
      <c r="T33" s="5">
        <f>ABS(T27-W27)</f>
        <v>1.0507467853832431</v>
      </c>
    </row>
    <row r="34" spans="7:20">
      <c r="H34" s="5">
        <f>H28/H$31</f>
        <v>1.8268209466049872</v>
      </c>
      <c r="I34" s="5">
        <f t="shared" ref="I34:P34" si="7">I28/I$31</f>
        <v>1.1508250825082507</v>
      </c>
      <c r="J34" s="5">
        <f t="shared" si="7"/>
        <v>1.4499487461991489</v>
      </c>
      <c r="K34" s="5">
        <f t="shared" si="7"/>
        <v>2.3016501650165022</v>
      </c>
      <c r="L34" s="5">
        <f t="shared" si="7"/>
        <v>2.8998974923982996</v>
      </c>
      <c r="M34" s="5">
        <f t="shared" si="7"/>
        <v>3.6536418932099775</v>
      </c>
      <c r="N34" s="5">
        <f t="shared" si="7"/>
        <v>1.4269897430232819</v>
      </c>
      <c r="O34" s="5">
        <f t="shared" si="7"/>
        <v>1.2459166039973364</v>
      </c>
      <c r="P34" s="5">
        <f t="shared" si="7"/>
        <v>1</v>
      </c>
      <c r="S34" s="5">
        <f t="shared" ref="S34:T34" si="8">ABS(S28-V28)</f>
        <v>0.87733031374961001</v>
      </c>
      <c r="T34" s="5">
        <f t="shared" si="8"/>
        <v>0.60385618977472433</v>
      </c>
    </row>
    <row r="35" spans="7:20">
      <c r="H35" s="5">
        <f>H29/H$31</f>
        <v>1.875150236058474</v>
      </c>
      <c r="I35" s="5">
        <f t="shared" ref="I35:P35" si="9">I29/I$31</f>
        <v>1.181270627062706</v>
      </c>
      <c r="J35" s="5">
        <f t="shared" si="9"/>
        <v>1.8751502360584751</v>
      </c>
      <c r="K35" s="5">
        <f t="shared" si="9"/>
        <v>2.3625412541254129</v>
      </c>
      <c r="L35" s="5">
        <f t="shared" si="9"/>
        <v>4.725082508250825</v>
      </c>
      <c r="M35" s="5">
        <f t="shared" si="9"/>
        <v>5.9532309146352818</v>
      </c>
      <c r="N35" s="5">
        <f t="shared" si="9"/>
        <v>2.9937380846707717</v>
      </c>
      <c r="O35" s="5">
        <f t="shared" si="9"/>
        <v>1.7193781479048187</v>
      </c>
      <c r="P35" s="5">
        <f t="shared" si="9"/>
        <v>1</v>
      </c>
      <c r="S35" s="5">
        <f t="shared" ref="S35" si="10">ABS(S29-V29)</f>
        <v>0.78378119121703804</v>
      </c>
      <c r="T35" s="5">
        <f>ABS(T29-W29)</f>
        <v>1.3473303137496107</v>
      </c>
    </row>
    <row r="37" spans="7:20">
      <c r="H37" s="5">
        <f>AVERAGE(H20:M20)</f>
        <v>5.9444444444444455</v>
      </c>
      <c r="I37" s="5">
        <f>AVERAGE(N20:P20)</f>
        <v>9.3804726129528095</v>
      </c>
      <c r="J37" s="5">
        <f>I37-H37</f>
        <v>3.436028168508364</v>
      </c>
      <c r="M37" s="5">
        <v>3.21272</v>
      </c>
    </row>
    <row r="38" spans="7:20">
      <c r="H38" s="5">
        <f t="shared" ref="H38:H39" si="11">AVERAGE(H21:M21)</f>
        <v>5</v>
      </c>
      <c r="I38" s="5">
        <f t="shared" ref="I38:I39" si="12">AVERAGE(N21:P21)</f>
        <v>8.5337251547412816</v>
      </c>
      <c r="J38" s="5">
        <f>I38-H38</f>
        <v>3.5337251547412816</v>
      </c>
      <c r="M38" s="5">
        <v>3.0104899999999999</v>
      </c>
    </row>
    <row r="39" spans="7:20">
      <c r="H39" s="5">
        <f t="shared" si="11"/>
        <v>5.7222222222222223</v>
      </c>
      <c r="I39" s="5">
        <f t="shared" si="12"/>
        <v>9.0601786340124395</v>
      </c>
      <c r="J39" s="5">
        <f>I39-H39</f>
        <v>3.3379564117902172</v>
      </c>
      <c r="M39" s="5">
        <v>3.2084000000000001</v>
      </c>
    </row>
    <row r="40" spans="7:20">
      <c r="I40" s="5" t="s">
        <v>62</v>
      </c>
      <c r="J40" s="5" t="s">
        <v>57</v>
      </c>
      <c r="K40" s="5" t="s">
        <v>58</v>
      </c>
    </row>
    <row r="41" spans="7:20">
      <c r="I41" s="5">
        <v>231</v>
      </c>
      <c r="J41" s="15">
        <f>2^J37</f>
        <v>10.822997164516323</v>
      </c>
      <c r="K41" s="15">
        <f>2^M37</f>
        <v>9.2709681199014344</v>
      </c>
    </row>
    <row r="42" spans="7:20">
      <c r="I42" s="5">
        <v>239</v>
      </c>
      <c r="J42" s="15">
        <f t="shared" ref="J42:J43" si="13">2^J38</f>
        <v>11.581298836278638</v>
      </c>
      <c r="K42" s="15">
        <f>2^M38</f>
        <v>8.0583809012727574</v>
      </c>
    </row>
    <row r="43" spans="7:20">
      <c r="I43" s="5">
        <v>241</v>
      </c>
      <c r="J43" s="15">
        <f t="shared" si="13"/>
        <v>10.111719277180592</v>
      </c>
      <c r="K43" s="15">
        <f>2^M39</f>
        <v>9.2432486938943264</v>
      </c>
    </row>
    <row r="44" spans="7:20">
      <c r="G44" s="5" t="s">
        <v>62</v>
      </c>
      <c r="H44" s="3" t="s">
        <v>63</v>
      </c>
      <c r="I44" s="4" t="s">
        <v>64</v>
      </c>
      <c r="J44" s="4" t="s">
        <v>65</v>
      </c>
      <c r="K44" s="4" t="s">
        <v>66</v>
      </c>
      <c r="L44" s="4" t="s">
        <v>67</v>
      </c>
      <c r="M44" s="4" t="s">
        <v>68</v>
      </c>
    </row>
    <row r="45" spans="7:20">
      <c r="G45" s="5" t="s">
        <v>42</v>
      </c>
      <c r="H45" s="15">
        <f>2^($P20-H20)</f>
        <v>15.427553973815941</v>
      </c>
      <c r="I45" s="15">
        <f t="shared" ref="I45:L45" si="14">2^($P20-I20)</f>
        <v>12.244857703665804</v>
      </c>
      <c r="J45" s="15">
        <f t="shared" si="14"/>
        <v>15.427553973815941</v>
      </c>
      <c r="K45" s="15">
        <f t="shared" si="14"/>
        <v>4.8593750000000018</v>
      </c>
      <c r="L45" s="15">
        <f t="shared" si="14"/>
        <v>38.875000000000014</v>
      </c>
      <c r="M45" s="15">
        <f>2^($P20-M20)</f>
        <v>123.4204317905275</v>
      </c>
    </row>
    <row r="46" spans="7:20">
      <c r="G46" s="5" t="s">
        <v>44</v>
      </c>
      <c r="H46" s="15">
        <f t="shared" ref="H46:M46" si="15">2^($P21-H21)</f>
        <v>17.297710838165965</v>
      </c>
      <c r="I46" s="15">
        <f>2^($P21-I21)</f>
        <v>17.297710838165965</v>
      </c>
      <c r="J46" s="15">
        <f t="shared" si="15"/>
        <v>17.297710838165965</v>
      </c>
      <c r="K46" s="15">
        <f t="shared" si="15"/>
        <v>5.4484374999999998</v>
      </c>
      <c r="L46" s="15">
        <f t="shared" si="15"/>
        <v>43.587499999999991</v>
      </c>
      <c r="M46" s="15">
        <f t="shared" si="15"/>
        <v>87.175000000000026</v>
      </c>
    </row>
    <row r="47" spans="7:20">
      <c r="G47" s="5" t="s">
        <v>45</v>
      </c>
      <c r="H47" s="15">
        <f t="shared" ref="H47:M47" si="16">2^($P22-H22)</f>
        <v>17.755328797678668</v>
      </c>
      <c r="I47" s="15">
        <f t="shared" si="16"/>
        <v>17.755328797678668</v>
      </c>
      <c r="J47" s="15">
        <f t="shared" si="16"/>
        <v>22.370312500000001</v>
      </c>
      <c r="K47" s="15">
        <f t="shared" si="16"/>
        <v>5.5925781250000002</v>
      </c>
      <c r="L47" s="15">
        <f t="shared" si="16"/>
        <v>71.021315190714688</v>
      </c>
      <c r="M47" s="15">
        <f t="shared" si="16"/>
        <v>142.0426303814294</v>
      </c>
    </row>
    <row r="50" spans="8:16">
      <c r="H50" s="5">
        <f>AVERAGE(N16:P16)-AVERAGE(H16:M16)</f>
        <v>-0.90436875723979249</v>
      </c>
    </row>
    <row r="51" spans="8:16">
      <c r="H51">
        <f>2^($P16-H16)</f>
        <v>0.33732272354324233</v>
      </c>
      <c r="I51">
        <f t="shared" ref="I51:P51" si="17">2^($P16-I16)</f>
        <v>0.33732272354324233</v>
      </c>
      <c r="J51">
        <f t="shared" si="17"/>
        <v>0.33732272354324233</v>
      </c>
      <c r="K51">
        <f t="shared" si="17"/>
        <v>0.10625</v>
      </c>
      <c r="L51">
        <f t="shared" si="17"/>
        <v>0.13386661155133031</v>
      </c>
      <c r="M51">
        <f t="shared" si="17"/>
        <v>8.4330680885810583E-2</v>
      </c>
      <c r="N51">
        <f t="shared" si="17"/>
        <v>0.25246903413327793</v>
      </c>
      <c r="O51">
        <f t="shared" si="17"/>
        <v>0.17623008713833321</v>
      </c>
      <c r="P51">
        <f t="shared" si="17"/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532DBA-1EBB-4DE0-A218-5C82DF517774}">
  <dimension ref="A1:V29"/>
  <sheetViews>
    <sheetView workbookViewId="0">
      <selection activeCell="W13" sqref="W13"/>
    </sheetView>
  </sheetViews>
  <sheetFormatPr defaultRowHeight="15"/>
  <cols>
    <col min="9" max="9" width="21" customWidth="1"/>
  </cols>
  <sheetData>
    <row r="1" spans="1:22">
      <c r="A1" s="1"/>
      <c r="B1" t="s">
        <v>48</v>
      </c>
      <c r="C1" t="s">
        <v>49</v>
      </c>
      <c r="D1" t="s">
        <v>50</v>
      </c>
      <c r="E1" t="s">
        <v>51</v>
      </c>
      <c r="F1" t="s">
        <v>52</v>
      </c>
      <c r="G1" t="s">
        <v>53</v>
      </c>
      <c r="H1" t="s">
        <v>54</v>
      </c>
      <c r="I1" t="s">
        <v>55</v>
      </c>
      <c r="L1" t="s">
        <v>56</v>
      </c>
      <c r="O1" t="s">
        <v>48</v>
      </c>
      <c r="P1" t="s">
        <v>49</v>
      </c>
      <c r="Q1" t="s">
        <v>50</v>
      </c>
      <c r="R1" t="s">
        <v>51</v>
      </c>
      <c r="S1" t="s">
        <v>52</v>
      </c>
      <c r="T1" t="s">
        <v>53</v>
      </c>
      <c r="U1" t="s">
        <v>54</v>
      </c>
      <c r="V1" t="s">
        <v>55</v>
      </c>
    </row>
    <row r="2" spans="1:22">
      <c r="A2" s="12" t="s">
        <v>18</v>
      </c>
      <c r="B2" cm="1">
        <f t="array" ref="B2:I29">LOG(O2:V29,2)</f>
        <v>6</v>
      </c>
      <c r="C2">
        <v>5.666666666666667</v>
      </c>
      <c r="D2">
        <v>6.666666666666667</v>
      </c>
      <c r="E2">
        <v>7.666666666666667</v>
      </c>
      <c r="F2">
        <v>5.666666666666667</v>
      </c>
      <c r="G2">
        <v>4.666666666666667</v>
      </c>
      <c r="H2">
        <v>6.0145555571813283</v>
      </c>
      <c r="I2">
        <v>5.8101553883631594</v>
      </c>
      <c r="O2" cm="1">
        <f t="array" ref="O2:V29">'[1]Final Compiled data (geomean)'!$D$2:$K$29</f>
        <v>64</v>
      </c>
      <c r="P2">
        <v>50.79683366298238</v>
      </c>
      <c r="Q2">
        <v>101.59366732596476</v>
      </c>
      <c r="R2">
        <v>203.18733465192952</v>
      </c>
      <c r="S2">
        <v>50.79683366298238</v>
      </c>
      <c r="T2">
        <v>25.39841683149119</v>
      </c>
      <c r="U2">
        <v>64.648973467231585</v>
      </c>
      <c r="V2">
        <v>56.108809150617915</v>
      </c>
    </row>
    <row r="3" spans="1:22">
      <c r="A3" s="12" t="s">
        <v>20</v>
      </c>
      <c r="B3">
        <v>4.666666666666667</v>
      </c>
      <c r="C3">
        <v>4</v>
      </c>
      <c r="D3">
        <v>4.666666666666667</v>
      </c>
      <c r="E3">
        <v>6.666666666666667</v>
      </c>
      <c r="F3">
        <v>3.6666666666666665</v>
      </c>
      <c r="G3">
        <v>2.6666666666666665</v>
      </c>
      <c r="H3">
        <v>6.9285302342749526</v>
      </c>
      <c r="I3">
        <v>6.894825195277658</v>
      </c>
      <c r="O3">
        <v>25.39841683149119</v>
      </c>
      <c r="P3">
        <v>16</v>
      </c>
      <c r="Q3">
        <v>25.39841683149119</v>
      </c>
      <c r="R3">
        <v>101.59366732596476</v>
      </c>
      <c r="S3">
        <v>12.699208415745595</v>
      </c>
      <c r="T3">
        <v>6.3496042078727974</v>
      </c>
      <c r="U3">
        <v>121.81350130825454</v>
      </c>
      <c r="V3">
        <v>119.00061302399251</v>
      </c>
    </row>
    <row r="4" spans="1:22">
      <c r="A4" s="12" t="s">
        <v>22</v>
      </c>
      <c r="B4">
        <v>3</v>
      </c>
      <c r="C4">
        <v>2.6666666666666665</v>
      </c>
      <c r="D4">
        <v>3.6666666666666665</v>
      </c>
      <c r="E4">
        <v>5.666666666666667</v>
      </c>
      <c r="F4">
        <v>2</v>
      </c>
      <c r="G4">
        <v>2.3333333333333335</v>
      </c>
      <c r="H4">
        <v>4.6641934167216741</v>
      </c>
      <c r="I4">
        <v>4.6644793040409205</v>
      </c>
      <c r="O4">
        <v>8</v>
      </c>
      <c r="P4">
        <v>6.3496042078727974</v>
      </c>
      <c r="Q4">
        <v>12.699208415745595</v>
      </c>
      <c r="R4">
        <v>50.79683366298238</v>
      </c>
      <c r="S4">
        <v>4</v>
      </c>
      <c r="T4">
        <v>5.0396841995794928</v>
      </c>
      <c r="U4">
        <v>25.354912959981661</v>
      </c>
      <c r="V4">
        <v>25.359937837825637</v>
      </c>
    </row>
    <row r="5" spans="1:22">
      <c r="A5" s="12" t="s">
        <v>23</v>
      </c>
      <c r="B5">
        <v>2.3333333333333335</v>
      </c>
      <c r="C5">
        <v>3</v>
      </c>
      <c r="D5">
        <v>3</v>
      </c>
      <c r="E5">
        <v>4.666666666666667</v>
      </c>
      <c r="F5">
        <v>2</v>
      </c>
      <c r="G5">
        <v>4.666666666666667</v>
      </c>
      <c r="H5">
        <v>2.9945497348547261</v>
      </c>
      <c r="I5">
        <v>3.2390771048393145</v>
      </c>
      <c r="O5">
        <v>5.0396841995794928</v>
      </c>
      <c r="P5">
        <v>8</v>
      </c>
      <c r="Q5">
        <v>8</v>
      </c>
      <c r="R5">
        <v>25.39841683149119</v>
      </c>
      <c r="S5">
        <v>4</v>
      </c>
      <c r="T5">
        <v>25.39841683149119</v>
      </c>
      <c r="U5">
        <v>7.9698343290048337</v>
      </c>
      <c r="V5">
        <v>9.4418993555348205</v>
      </c>
    </row>
    <row r="6" spans="1:22">
      <c r="A6" s="13" t="s">
        <v>46</v>
      </c>
      <c r="B6">
        <v>6</v>
      </c>
      <c r="C6">
        <v>6</v>
      </c>
      <c r="D6">
        <v>8</v>
      </c>
      <c r="E6">
        <v>8</v>
      </c>
      <c r="F6">
        <v>7</v>
      </c>
      <c r="G6">
        <v>6</v>
      </c>
      <c r="H6">
        <v>6.6546753454625609</v>
      </c>
      <c r="I6">
        <v>6.7325575593276916</v>
      </c>
      <c r="O6">
        <v>64</v>
      </c>
      <c r="P6">
        <v>64</v>
      </c>
      <c r="Q6">
        <v>256</v>
      </c>
      <c r="R6">
        <v>256</v>
      </c>
      <c r="S6">
        <v>128</v>
      </c>
      <c r="T6">
        <v>64</v>
      </c>
      <c r="U6">
        <v>100.75274571896648</v>
      </c>
      <c r="V6">
        <v>106.3412529190154</v>
      </c>
    </row>
    <row r="7" spans="1:22">
      <c r="A7" s="12" t="s">
        <v>24</v>
      </c>
      <c r="B7">
        <v>4</v>
      </c>
      <c r="C7">
        <v>3.3333333333333335</v>
      </c>
      <c r="D7">
        <v>3.6666666666666665</v>
      </c>
      <c r="E7">
        <v>6</v>
      </c>
      <c r="F7">
        <v>3.3333333333333335</v>
      </c>
      <c r="G7">
        <v>2.6666666666666665</v>
      </c>
      <c r="H7">
        <v>6.5674963995373687</v>
      </c>
      <c r="I7">
        <v>6.0126818390869285</v>
      </c>
      <c r="O7">
        <v>16</v>
      </c>
      <c r="P7">
        <v>10.079368399158986</v>
      </c>
      <c r="Q7">
        <v>12.699208415745595</v>
      </c>
      <c r="R7">
        <v>64</v>
      </c>
      <c r="S7">
        <v>10.079368399158986</v>
      </c>
      <c r="T7">
        <v>6.3496042078727974</v>
      </c>
      <c r="U7">
        <v>94.844775454560732</v>
      </c>
      <c r="V7">
        <v>64.565064311193197</v>
      </c>
    </row>
    <row r="8" spans="1:22">
      <c r="A8" s="12" t="s">
        <v>26</v>
      </c>
      <c r="B8">
        <v>4.666666666666667</v>
      </c>
      <c r="C8">
        <v>4</v>
      </c>
      <c r="D8">
        <v>4</v>
      </c>
      <c r="E8">
        <v>6.666666666666667</v>
      </c>
      <c r="F8">
        <v>3.3333333333333335</v>
      </c>
      <c r="G8">
        <v>3</v>
      </c>
      <c r="H8">
        <v>6.9333809147285717</v>
      </c>
      <c r="I8">
        <v>5.982090722595931</v>
      </c>
      <c r="O8">
        <v>25.39841683149119</v>
      </c>
      <c r="P8">
        <v>16</v>
      </c>
      <c r="Q8">
        <v>16</v>
      </c>
      <c r="R8">
        <v>101.59366732596476</v>
      </c>
      <c r="S8">
        <v>10.079368399158986</v>
      </c>
      <c r="T8">
        <v>8</v>
      </c>
      <c r="U8">
        <v>122.2237562847607</v>
      </c>
      <c r="V8">
        <v>63.210429939255903</v>
      </c>
    </row>
    <row r="9" spans="1:22">
      <c r="A9" s="12" t="s">
        <v>27</v>
      </c>
      <c r="B9">
        <v>5</v>
      </c>
      <c r="C9">
        <v>5</v>
      </c>
      <c r="D9">
        <v>5.3333333333333339</v>
      </c>
      <c r="E9">
        <v>6.666666666666667</v>
      </c>
      <c r="F9">
        <v>4</v>
      </c>
      <c r="G9">
        <v>3</v>
      </c>
      <c r="H9">
        <v>6.6773725194956786</v>
      </c>
      <c r="I9">
        <v>6.6707268834703353</v>
      </c>
      <c r="O9">
        <v>32</v>
      </c>
      <c r="P9">
        <v>32</v>
      </c>
      <c r="Q9">
        <v>40.317473596635942</v>
      </c>
      <c r="R9">
        <v>101.59366732596476</v>
      </c>
      <c r="S9">
        <v>16</v>
      </c>
      <c r="T9">
        <v>8</v>
      </c>
      <c r="U9">
        <v>102.35037084845538</v>
      </c>
      <c r="V9">
        <v>101.87998792229351</v>
      </c>
    </row>
    <row r="10" spans="1:22">
      <c r="A10" s="12" t="s">
        <v>28</v>
      </c>
      <c r="B10">
        <v>4</v>
      </c>
      <c r="C10">
        <v>3.6666666666666665</v>
      </c>
      <c r="D10">
        <v>4.3333333333333339</v>
      </c>
      <c r="E10">
        <v>6.3333333333333339</v>
      </c>
      <c r="F10">
        <v>3</v>
      </c>
      <c r="G10">
        <v>2.3333333333333335</v>
      </c>
      <c r="H10">
        <v>5.7036429389839043</v>
      </c>
      <c r="I10">
        <v>5.4373956814257571</v>
      </c>
      <c r="O10">
        <v>16</v>
      </c>
      <c r="P10">
        <v>12.699208415745595</v>
      </c>
      <c r="Q10">
        <v>20.158736798317971</v>
      </c>
      <c r="R10">
        <v>80.634947193271884</v>
      </c>
      <c r="S10">
        <v>8</v>
      </c>
      <c r="T10">
        <v>5.0396841995794928</v>
      </c>
      <c r="U10">
        <v>52.115584050139056</v>
      </c>
      <c r="V10">
        <v>43.333044057502121</v>
      </c>
    </row>
    <row r="11" spans="1:22">
      <c r="A11" s="12" t="s">
        <v>29</v>
      </c>
      <c r="B11">
        <v>4</v>
      </c>
      <c r="C11">
        <v>4.666666666666667</v>
      </c>
      <c r="D11">
        <v>4.666666666666667</v>
      </c>
      <c r="E11">
        <v>6.3333333333333339</v>
      </c>
      <c r="F11">
        <v>2.5</v>
      </c>
      <c r="G11">
        <v>4</v>
      </c>
      <c r="H11">
        <v>5.6765851604554793</v>
      </c>
      <c r="I11">
        <v>4.7248703502845331</v>
      </c>
      <c r="O11">
        <v>16</v>
      </c>
      <c r="P11">
        <v>25.39841683149119</v>
      </c>
      <c r="Q11">
        <v>25.39841683149119</v>
      </c>
      <c r="R11">
        <v>80.634947193271884</v>
      </c>
      <c r="S11">
        <v>5.6568542494923797</v>
      </c>
      <c r="T11">
        <v>16</v>
      </c>
      <c r="U11">
        <v>51.147263895005018</v>
      </c>
      <c r="V11">
        <v>26.444033645771732</v>
      </c>
    </row>
    <row r="12" spans="1:22">
      <c r="A12" s="12" t="s">
        <v>30</v>
      </c>
      <c r="B12">
        <v>8</v>
      </c>
      <c r="C12">
        <v>7.3333333333333339</v>
      </c>
      <c r="D12">
        <v>7.3333333333333339</v>
      </c>
      <c r="E12">
        <v>7.666666666666667</v>
      </c>
      <c r="F12">
        <v>8</v>
      </c>
      <c r="G12">
        <v>8</v>
      </c>
      <c r="H12">
        <v>8</v>
      </c>
      <c r="I12">
        <v>7</v>
      </c>
      <c r="O12">
        <v>256</v>
      </c>
      <c r="P12">
        <v>161.26989438654377</v>
      </c>
      <c r="Q12">
        <v>161.26989438654377</v>
      </c>
      <c r="R12">
        <v>203.18733465192952</v>
      </c>
      <c r="S12">
        <v>256</v>
      </c>
      <c r="T12">
        <v>256</v>
      </c>
      <c r="U12">
        <v>256</v>
      </c>
      <c r="V12">
        <v>128</v>
      </c>
    </row>
    <row r="13" spans="1:22">
      <c r="A13" s="12" t="s">
        <v>32</v>
      </c>
      <c r="B13">
        <v>7</v>
      </c>
      <c r="C13">
        <v>6</v>
      </c>
      <c r="D13">
        <v>7</v>
      </c>
      <c r="E13">
        <v>8</v>
      </c>
      <c r="F13">
        <v>8</v>
      </c>
      <c r="G13">
        <v>4</v>
      </c>
      <c r="H13">
        <v>6.1032552497000889</v>
      </c>
      <c r="I13">
        <v>6.878396594394844</v>
      </c>
      <c r="O13">
        <v>128</v>
      </c>
      <c r="P13">
        <v>64</v>
      </c>
      <c r="Q13">
        <v>128</v>
      </c>
      <c r="R13">
        <v>256</v>
      </c>
      <c r="S13">
        <v>256</v>
      </c>
      <c r="T13">
        <v>16</v>
      </c>
      <c r="U13">
        <v>68.748448468925204</v>
      </c>
      <c r="V13">
        <v>117.653187299858</v>
      </c>
    </row>
    <row r="14" spans="1:22">
      <c r="A14" s="13" t="s">
        <v>47</v>
      </c>
      <c r="B14">
        <v>8</v>
      </c>
      <c r="C14">
        <v>8</v>
      </c>
      <c r="D14">
        <v>8</v>
      </c>
      <c r="E14">
        <v>8</v>
      </c>
      <c r="F14">
        <v>7.3333333333333339</v>
      </c>
      <c r="G14">
        <v>6.3333333333333339</v>
      </c>
      <c r="H14">
        <v>6.9366485581428448</v>
      </c>
      <c r="I14">
        <v>7</v>
      </c>
      <c r="O14">
        <v>256</v>
      </c>
      <c r="P14">
        <v>256</v>
      </c>
      <c r="Q14">
        <v>256</v>
      </c>
      <c r="R14">
        <v>256</v>
      </c>
      <c r="S14">
        <v>161.26989438654377</v>
      </c>
      <c r="T14">
        <v>80.634947193271884</v>
      </c>
      <c r="U14">
        <v>122.50090168014327</v>
      </c>
      <c r="V14">
        <v>128</v>
      </c>
    </row>
    <row r="15" spans="1:22">
      <c r="A15" s="12" t="s">
        <v>33</v>
      </c>
      <c r="B15">
        <v>6.3333333333333339</v>
      </c>
      <c r="C15">
        <v>4</v>
      </c>
      <c r="D15">
        <v>5.666666666666667</v>
      </c>
      <c r="E15">
        <v>7</v>
      </c>
      <c r="F15">
        <v>2</v>
      </c>
      <c r="G15">
        <v>2.5</v>
      </c>
      <c r="H15">
        <v>4.546237501059192</v>
      </c>
      <c r="I15">
        <v>4.337643970035546</v>
      </c>
      <c r="O15">
        <v>80.634947193271884</v>
      </c>
      <c r="P15">
        <v>16</v>
      </c>
      <c r="Q15">
        <v>50.79683366298238</v>
      </c>
      <c r="R15">
        <v>128</v>
      </c>
      <c r="S15">
        <v>4</v>
      </c>
      <c r="T15">
        <v>5.6568542494923797</v>
      </c>
      <c r="U15">
        <v>23.364358169057173</v>
      </c>
      <c r="V15">
        <v>20.219059276489546</v>
      </c>
    </row>
    <row r="16" spans="1:22">
      <c r="A16" s="12" t="s">
        <v>35</v>
      </c>
      <c r="B16">
        <v>4</v>
      </c>
      <c r="C16">
        <v>2.8000000000000003</v>
      </c>
      <c r="D16">
        <v>3.6</v>
      </c>
      <c r="E16">
        <v>5.6000000000000005</v>
      </c>
      <c r="F16">
        <v>2.2000000000000002</v>
      </c>
      <c r="G16">
        <v>3.2000000000000006</v>
      </c>
      <c r="H16">
        <v>5.6544285579160087</v>
      </c>
      <c r="I16">
        <v>5.3974804958350004</v>
      </c>
      <c r="O16">
        <v>16</v>
      </c>
      <c r="P16">
        <v>6.964404506368993</v>
      </c>
      <c r="Q16">
        <v>12.125732532083184</v>
      </c>
      <c r="R16">
        <v>48.502930128332736</v>
      </c>
      <c r="S16">
        <v>4.5947934199881404</v>
      </c>
      <c r="T16">
        <v>9.1895868399762808</v>
      </c>
      <c r="U16">
        <v>50.36775620950624</v>
      </c>
      <c r="V16">
        <v>42.150577600896035</v>
      </c>
    </row>
    <row r="17" spans="1:22">
      <c r="A17" s="12" t="s">
        <v>36</v>
      </c>
      <c r="B17">
        <v>2.3333333333333335</v>
      </c>
      <c r="C17">
        <v>2</v>
      </c>
      <c r="D17">
        <v>2.6666666666666665</v>
      </c>
      <c r="E17">
        <v>4.3333333333333339</v>
      </c>
      <c r="F17">
        <v>2</v>
      </c>
      <c r="G17">
        <v>3.6666666666666665</v>
      </c>
      <c r="H17">
        <v>3.8842362691082677</v>
      </c>
      <c r="I17">
        <v>4.1585675080185984</v>
      </c>
      <c r="O17">
        <v>5.0396841995794928</v>
      </c>
      <c r="P17">
        <v>4</v>
      </c>
      <c r="Q17">
        <v>6.3496042078727974</v>
      </c>
      <c r="R17">
        <v>20.158736798317971</v>
      </c>
      <c r="S17">
        <v>4</v>
      </c>
      <c r="T17">
        <v>12.699208415745595</v>
      </c>
      <c r="U17">
        <v>14.766297950233303</v>
      </c>
      <c r="V17">
        <v>17.858852851588704</v>
      </c>
    </row>
    <row r="18" spans="1:22">
      <c r="A18" s="12" t="s">
        <v>37</v>
      </c>
      <c r="B18">
        <v>2.3333333333333335</v>
      </c>
      <c r="C18">
        <v>2.3333333333333335</v>
      </c>
      <c r="D18">
        <v>2.3333333333333335</v>
      </c>
      <c r="E18">
        <v>4</v>
      </c>
      <c r="F18">
        <v>3.6666666666666665</v>
      </c>
      <c r="G18">
        <v>4.3333333333333339</v>
      </c>
      <c r="H18">
        <v>2.7513563921658837</v>
      </c>
      <c r="I18">
        <v>3.2700025897517606</v>
      </c>
      <c r="O18">
        <v>5.0396841995794928</v>
      </c>
      <c r="P18">
        <v>5.0396841995794928</v>
      </c>
      <c r="Q18">
        <v>5.0396841995794928</v>
      </c>
      <c r="R18">
        <v>16</v>
      </c>
      <c r="S18">
        <v>12.699208415745595</v>
      </c>
      <c r="T18">
        <v>20.158736798317971</v>
      </c>
      <c r="U18">
        <v>6.7334990440949412</v>
      </c>
      <c r="V18">
        <v>9.6464799377053669</v>
      </c>
    </row>
    <row r="19" spans="1:22">
      <c r="A19" s="12" t="s">
        <v>38</v>
      </c>
      <c r="B19">
        <v>6</v>
      </c>
      <c r="C19">
        <v>5.666666666666667</v>
      </c>
      <c r="D19">
        <v>6</v>
      </c>
      <c r="E19">
        <v>7.666666666666667</v>
      </c>
      <c r="F19">
        <v>4.75</v>
      </c>
      <c r="G19">
        <v>3.6666666666666665</v>
      </c>
      <c r="H19">
        <v>6.9634622171825109</v>
      </c>
      <c r="I19">
        <v>6.4925371194936705</v>
      </c>
      <c r="O19">
        <v>64</v>
      </c>
      <c r="P19">
        <v>50.79683366298238</v>
      </c>
      <c r="Q19">
        <v>64</v>
      </c>
      <c r="R19">
        <v>203.18733465192952</v>
      </c>
      <c r="S19">
        <v>26.908685288118864</v>
      </c>
      <c r="T19">
        <v>12.699208415745595</v>
      </c>
      <c r="U19">
        <v>124.79897000993672</v>
      </c>
      <c r="V19">
        <v>90.042681702991757</v>
      </c>
    </row>
    <row r="20" spans="1:22">
      <c r="A20" s="12" t="s">
        <v>40</v>
      </c>
      <c r="B20">
        <v>4</v>
      </c>
      <c r="C20">
        <v>4.3333333333333339</v>
      </c>
      <c r="D20">
        <v>4.666666666666667</v>
      </c>
      <c r="E20">
        <v>6.666666666666667</v>
      </c>
      <c r="F20">
        <v>2.3333333333333335</v>
      </c>
      <c r="G20">
        <v>4</v>
      </c>
      <c r="H20">
        <v>2.4423102831456922</v>
      </c>
      <c r="I20">
        <v>2.7991044519686374</v>
      </c>
      <c r="O20">
        <v>16</v>
      </c>
      <c r="P20">
        <v>20.158736798317971</v>
      </c>
      <c r="Q20">
        <v>25.39841683149119</v>
      </c>
      <c r="R20">
        <v>101.59366732596476</v>
      </c>
      <c r="S20">
        <v>5.0396841995794928</v>
      </c>
      <c r="T20">
        <v>16</v>
      </c>
      <c r="U20">
        <v>5.435113952718897</v>
      </c>
      <c r="V20">
        <v>6.9600827175060571</v>
      </c>
    </row>
    <row r="21" spans="1:22">
      <c r="A21" s="12" t="s">
        <v>41</v>
      </c>
      <c r="B21">
        <v>3.3333333333333335</v>
      </c>
      <c r="C21">
        <v>3.3333333333333335</v>
      </c>
      <c r="D21">
        <v>3.6666666666666665</v>
      </c>
      <c r="E21">
        <v>5.666666666666667</v>
      </c>
      <c r="F21">
        <v>2.6666666666666665</v>
      </c>
      <c r="G21">
        <v>3.3333333333333335</v>
      </c>
      <c r="H21">
        <v>3.77332579366829</v>
      </c>
      <c r="I21">
        <v>3.6490937489357052</v>
      </c>
      <c r="O21">
        <v>10.079368399158986</v>
      </c>
      <c r="P21">
        <v>10.079368399158986</v>
      </c>
      <c r="Q21">
        <v>12.699208415745595</v>
      </c>
      <c r="R21">
        <v>50.79683366298238</v>
      </c>
      <c r="S21">
        <v>6.3496042078727974</v>
      </c>
      <c r="T21">
        <v>10.079368399158986</v>
      </c>
      <c r="U21">
        <v>13.673643328257528</v>
      </c>
      <c r="V21">
        <v>12.545462465589063</v>
      </c>
    </row>
    <row r="22" spans="1:22" ht="15.75">
      <c r="A22" s="14" t="s">
        <v>42</v>
      </c>
      <c r="B22">
        <v>6.3333333333333339</v>
      </c>
      <c r="C22">
        <v>6.666666666666667</v>
      </c>
      <c r="D22">
        <v>6.3333333333333339</v>
      </c>
      <c r="E22">
        <v>8</v>
      </c>
      <c r="F22">
        <v>5</v>
      </c>
      <c r="G22">
        <v>3.3333333333333335</v>
      </c>
      <c r="H22">
        <v>8.8494485504556231</v>
      </c>
      <c r="I22">
        <v>9.0111985182722041</v>
      </c>
      <c r="O22">
        <v>80.634947193271884</v>
      </c>
      <c r="P22">
        <v>101.59366732596476</v>
      </c>
      <c r="Q22">
        <v>80.634947193271884</v>
      </c>
      <c r="R22">
        <v>256</v>
      </c>
      <c r="S22">
        <v>32</v>
      </c>
      <c r="T22">
        <v>10.079368399158986</v>
      </c>
      <c r="U22">
        <v>461.26389163109673</v>
      </c>
      <c r="V22">
        <v>515.98972185954847</v>
      </c>
    </row>
    <row r="23" spans="1:22" ht="15.75">
      <c r="A23" s="14" t="s">
        <v>44</v>
      </c>
      <c r="B23">
        <v>5.3333333333333339</v>
      </c>
      <c r="C23">
        <v>5.3333333333333339</v>
      </c>
      <c r="D23">
        <v>5.3333333333333339</v>
      </c>
      <c r="E23">
        <v>7</v>
      </c>
      <c r="F23">
        <v>4</v>
      </c>
      <c r="G23">
        <v>3</v>
      </c>
      <c r="H23">
        <v>8.2571900049667324</v>
      </c>
      <c r="I23">
        <v>7.8981429053677719</v>
      </c>
      <c r="O23">
        <v>40.317473596635942</v>
      </c>
      <c r="P23">
        <v>40.317473596635942</v>
      </c>
      <c r="Q23">
        <v>40.317473596635942</v>
      </c>
      <c r="R23">
        <v>128</v>
      </c>
      <c r="S23">
        <v>16</v>
      </c>
      <c r="T23">
        <v>8</v>
      </c>
      <c r="U23">
        <v>305.95804089445511</v>
      </c>
      <c r="V23">
        <v>238.54917809005542</v>
      </c>
    </row>
    <row r="24" spans="1:22" ht="15.75">
      <c r="A24" s="14" t="s">
        <v>45</v>
      </c>
      <c r="B24">
        <v>6.3333333333333339</v>
      </c>
      <c r="C24">
        <v>6.3333333333333339</v>
      </c>
      <c r="D24">
        <v>6</v>
      </c>
      <c r="E24">
        <v>8</v>
      </c>
      <c r="F24">
        <v>4.3333333333333339</v>
      </c>
      <c r="G24">
        <v>3.3333333333333335</v>
      </c>
      <c r="H24">
        <v>8.2258879122710713</v>
      </c>
      <c r="I24">
        <v>8.4711344847468819</v>
      </c>
      <c r="O24">
        <v>80.634947193271884</v>
      </c>
      <c r="P24">
        <v>80.634947193271884</v>
      </c>
      <c r="Q24">
        <v>64</v>
      </c>
      <c r="R24">
        <v>256</v>
      </c>
      <c r="S24">
        <v>20.158736798317971</v>
      </c>
      <c r="T24">
        <v>10.079368399158986</v>
      </c>
      <c r="U24">
        <v>299.39118040688982</v>
      </c>
      <c r="V24">
        <v>354.86696907560906</v>
      </c>
    </row>
    <row r="25" spans="1:22">
      <c r="A25" s="21" t="s">
        <v>69</v>
      </c>
      <c r="B25">
        <v>2.6666666666666665</v>
      </c>
      <c r="C25">
        <v>2.3333333333333335</v>
      </c>
      <c r="D25">
        <v>2.6666666666666665</v>
      </c>
      <c r="E25">
        <v>4</v>
      </c>
      <c r="F25">
        <v>2.6666666666666665</v>
      </c>
      <c r="G25">
        <v>4.3333333333333339</v>
      </c>
      <c r="H25">
        <v>1.8482564930835654</v>
      </c>
      <c r="I25">
        <v>2.0507137500416803</v>
      </c>
      <c r="O25">
        <v>6.3496042078727974</v>
      </c>
      <c r="P25">
        <v>5.0396841995794928</v>
      </c>
      <c r="Q25">
        <v>6.3496042078727974</v>
      </c>
      <c r="R25">
        <v>16</v>
      </c>
      <c r="S25">
        <v>6.3496042078727974</v>
      </c>
      <c r="T25">
        <v>20.158736798317971</v>
      </c>
      <c r="U25">
        <v>3.6006478122927423</v>
      </c>
      <c r="V25">
        <v>4.1431089245544817</v>
      </c>
    </row>
    <row r="26" spans="1:22">
      <c r="A26" s="21" t="s">
        <v>70</v>
      </c>
      <c r="B26">
        <v>2.6666666666666665</v>
      </c>
      <c r="C26">
        <v>2.6666666666666665</v>
      </c>
      <c r="D26">
        <v>3</v>
      </c>
      <c r="E26">
        <v>3.6666666666666665</v>
      </c>
      <c r="F26">
        <v>3.3333333333333335</v>
      </c>
      <c r="G26">
        <v>4.666666666666667</v>
      </c>
      <c r="H26">
        <v>1.8927216543299505</v>
      </c>
      <c r="I26">
        <v>2.5432743707309733</v>
      </c>
      <c r="O26">
        <v>6.3496042078727974</v>
      </c>
      <c r="P26">
        <v>6.3496042078727974</v>
      </c>
      <c r="Q26">
        <v>8</v>
      </c>
      <c r="R26">
        <v>12.699208415745595</v>
      </c>
      <c r="S26">
        <v>10.079368399158986</v>
      </c>
      <c r="T26">
        <v>25.39841683149119</v>
      </c>
      <c r="U26">
        <v>3.7133509065486519</v>
      </c>
      <c r="V26">
        <v>5.8291049252708769</v>
      </c>
    </row>
    <row r="27" spans="1:22" ht="37.5" customHeight="1">
      <c r="A27" s="5" t="s">
        <v>71</v>
      </c>
      <c r="B27">
        <v>4</v>
      </c>
      <c r="C27">
        <v>3</v>
      </c>
      <c r="D27">
        <v>4</v>
      </c>
      <c r="E27">
        <v>6</v>
      </c>
      <c r="F27">
        <v>2.3333333333333335</v>
      </c>
      <c r="G27">
        <v>3</v>
      </c>
      <c r="H27">
        <v>4.1796604557049486</v>
      </c>
      <c r="I27">
        <v>4.2231523549254684</v>
      </c>
      <c r="O27">
        <v>16</v>
      </c>
      <c r="P27">
        <v>8</v>
      </c>
      <c r="Q27">
        <v>16</v>
      </c>
      <c r="R27">
        <v>64</v>
      </c>
      <c r="S27">
        <v>5.0396841995794928</v>
      </c>
      <c r="T27">
        <v>8</v>
      </c>
      <c r="U27">
        <v>18.121876603552469</v>
      </c>
      <c r="V27">
        <v>18.67650184548561</v>
      </c>
    </row>
    <row r="28" spans="1:22">
      <c r="A28" s="5" t="s">
        <v>72</v>
      </c>
      <c r="B28">
        <v>4</v>
      </c>
      <c r="C28">
        <v>3</v>
      </c>
      <c r="D28">
        <v>4.3333333333333339</v>
      </c>
      <c r="E28">
        <v>6</v>
      </c>
      <c r="F28">
        <v>8</v>
      </c>
      <c r="G28">
        <v>5</v>
      </c>
      <c r="H28">
        <v>3.8388139656867271</v>
      </c>
      <c r="I28">
        <v>3.8762127767606001</v>
      </c>
      <c r="O28">
        <v>16</v>
      </c>
      <c r="P28">
        <v>8</v>
      </c>
      <c r="Q28">
        <v>20.158736798317971</v>
      </c>
      <c r="R28">
        <v>64</v>
      </c>
      <c r="S28">
        <v>256</v>
      </c>
      <c r="T28">
        <v>32</v>
      </c>
      <c r="U28">
        <v>14.308633223324348</v>
      </c>
      <c r="V28">
        <v>14.684403695543544</v>
      </c>
    </row>
    <row r="29" spans="1:22">
      <c r="A29" t="s">
        <v>77</v>
      </c>
      <c r="B29">
        <v>2.6666666666666665</v>
      </c>
      <c r="C29">
        <v>2.6666666666666665</v>
      </c>
      <c r="D29">
        <v>3.3333333333333335</v>
      </c>
      <c r="E29">
        <v>4</v>
      </c>
      <c r="F29">
        <v>3.3333333333333335</v>
      </c>
      <c r="G29">
        <v>4.3333333333333339</v>
      </c>
      <c r="H29">
        <v>2.0984509295281182</v>
      </c>
      <c r="I29">
        <v>2.1705677045331981</v>
      </c>
      <c r="O29">
        <v>6.3496042078727974</v>
      </c>
      <c r="P29">
        <v>6.3496042078727974</v>
      </c>
      <c r="Q29">
        <v>10.079368399158986</v>
      </c>
      <c r="R29">
        <v>16</v>
      </c>
      <c r="S29">
        <v>10.079368399158986</v>
      </c>
      <c r="T29">
        <v>20.158736798317971</v>
      </c>
      <c r="U29">
        <v>4.2824931228658487</v>
      </c>
      <c r="V29">
        <v>4.5020051418592226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Truncated data</vt:lpstr>
      <vt:lpstr>Sheet5</vt:lpstr>
      <vt:lpstr>Sheet5 (2)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Douglas Chang</dc:creator>
  <cp:lastModifiedBy>Douglas Chang</cp:lastModifiedBy>
  <dcterms:created xsi:type="dcterms:W3CDTF">2022-09-13T16:05:32Z</dcterms:created>
  <dcterms:modified xsi:type="dcterms:W3CDTF">2023-05-24T01:51:02Z</dcterms:modified>
</cp:coreProperties>
</file>