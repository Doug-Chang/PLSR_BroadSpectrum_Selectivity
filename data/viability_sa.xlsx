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dhchang2_wisc_edu/Documents/Broad Spectrum data/Compiled lists/"/>
    </mc:Choice>
  </mc:AlternateContent>
  <xr:revisionPtr revIDLastSave="132" documentId="8_{42E399A6-31C3-4BC5-88E8-13D7A10514A6}" xr6:coauthVersionLast="47" xr6:coauthVersionMax="47" xr10:uidLastSave="{7B08075E-820D-487D-9D95-C8DE351773CF}"/>
  <bookViews>
    <workbookView xWindow="-120" yWindow="-120" windowWidth="29040" windowHeight="15720" tabRatio="790" activeTab="27" xr2:uid="{22B6B580-6D42-42C5-9DD5-B887C3FBB138}"/>
  </bookViews>
  <sheets>
    <sheet name="1" sheetId="1" r:id="rId1"/>
    <sheet name="12" sheetId="2" r:id="rId2"/>
    <sheet name="13" sheetId="3" r:id="rId3"/>
    <sheet name="14" sheetId="4" r:id="rId4"/>
    <sheet name="26" sheetId="5" r:id="rId5"/>
    <sheet name="29" sheetId="6" r:id="rId6"/>
    <sheet name="29g1PK6" sheetId="7" r:id="rId7"/>
    <sheet name="32" sheetId="8" r:id="rId8"/>
    <sheet name="35" sheetId="9" r:id="rId9"/>
    <sheet name="38" sheetId="10" r:id="rId10"/>
    <sheet name="52" sheetId="11" r:id="rId11"/>
    <sheet name="53" sheetId="12" r:id="rId12"/>
    <sheet name="54" sheetId="13" r:id="rId13"/>
    <sheet name="55" sheetId="14" r:id="rId14"/>
    <sheet name="56" sheetId="15" r:id="rId15"/>
    <sheet name="57" sheetId="16" r:id="rId16"/>
    <sheet name="58" sheetId="17" r:id="rId17"/>
    <sheet name="59" sheetId="18" r:id="rId18"/>
    <sheet name="61" sheetId="19" r:id="rId19"/>
    <sheet name="228" sheetId="20" r:id="rId20"/>
    <sheet name="231" sheetId="21" r:id="rId21"/>
    <sheet name="239" sheetId="22" r:id="rId22"/>
    <sheet name="241" sheetId="23" r:id="rId23"/>
    <sheet name="43" sheetId="24" r:id="rId24"/>
    <sheet name="62" sheetId="25" r:id="rId25"/>
    <sheet name="24" sheetId="26" r:id="rId26"/>
    <sheet name="49" sheetId="27" r:id="rId27"/>
    <sheet name="40" sheetId="28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8" l="1"/>
  <c r="Z3" i="28" l="1"/>
  <c r="Y2" i="28"/>
  <c r="X2" i="28"/>
  <c r="W2" i="28"/>
  <c r="V2" i="28"/>
  <c r="U2" i="28"/>
  <c r="AB3" i="28"/>
  <c r="AA3" i="28"/>
  <c r="S3" i="28"/>
  <c r="R3" i="28"/>
  <c r="Q3" i="28"/>
  <c r="P3" i="28"/>
  <c r="AB2" i="28"/>
  <c r="AA2" i="28"/>
  <c r="Z2" i="28"/>
  <c r="S2" i="28"/>
  <c r="R2" i="28"/>
  <c r="Q2" i="28"/>
  <c r="P2" i="28"/>
  <c r="Q1" i="28"/>
  <c r="R1" i="28" s="1"/>
  <c r="S1" i="28" s="1"/>
  <c r="T1" i="28" s="1"/>
  <c r="U1" i="28" s="1"/>
  <c r="V1" i="28" s="1"/>
  <c r="W1" i="28" s="1"/>
  <c r="X1" i="28" s="1"/>
  <c r="Y1" i="28" s="1"/>
  <c r="Z1" i="28" s="1"/>
  <c r="AA1" i="28" s="1"/>
  <c r="AB1" i="28" s="1"/>
  <c r="C1" i="28"/>
  <c r="D1" i="28" s="1"/>
  <c r="E1" i="28" s="1"/>
  <c r="F1" i="28" s="1"/>
  <c r="G1" i="28" s="1"/>
  <c r="H1" i="28" s="1"/>
  <c r="I1" i="28" s="1"/>
  <c r="J1" i="28" s="1"/>
  <c r="K1" i="28" s="1"/>
  <c r="L1" i="28" s="1"/>
  <c r="M1" i="28" s="1"/>
  <c r="N1" i="28" s="1"/>
  <c r="T3" i="28" l="1"/>
  <c r="U3" i="28"/>
  <c r="V3" i="28"/>
  <c r="W3" i="28"/>
  <c r="X3" i="28"/>
  <c r="Y3" i="28"/>
  <c r="AB3" i="27" l="1"/>
  <c r="AA3" i="27"/>
  <c r="Z3" i="27"/>
  <c r="Y3" i="27"/>
  <c r="X3" i="27"/>
  <c r="W3" i="27"/>
  <c r="V3" i="27"/>
  <c r="U3" i="27"/>
  <c r="T3" i="27"/>
  <c r="S3" i="27"/>
  <c r="R3" i="27"/>
  <c r="Q3" i="27"/>
  <c r="P3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R1" i="27"/>
  <c r="S1" i="27" s="1"/>
  <c r="T1" i="27" s="1"/>
  <c r="U1" i="27" s="1"/>
  <c r="V1" i="27" s="1"/>
  <c r="W1" i="27" s="1"/>
  <c r="X1" i="27" s="1"/>
  <c r="Y1" i="27" s="1"/>
  <c r="Z1" i="27" s="1"/>
  <c r="AA1" i="27" s="1"/>
  <c r="AB1" i="27" s="1"/>
  <c r="Q1" i="27"/>
  <c r="C1" i="27"/>
  <c r="D1" i="27" s="1"/>
  <c r="E1" i="27" s="1"/>
  <c r="F1" i="27" s="1"/>
  <c r="G1" i="27" s="1"/>
  <c r="H1" i="27" s="1"/>
  <c r="I1" i="27" s="1"/>
  <c r="J1" i="27" s="1"/>
  <c r="K1" i="27" s="1"/>
  <c r="L1" i="27" s="1"/>
  <c r="M1" i="27" s="1"/>
  <c r="N1" i="27" s="1"/>
  <c r="AA3" i="26"/>
  <c r="Z3" i="26"/>
  <c r="Y2" i="26"/>
  <c r="X2" i="26"/>
  <c r="W2" i="26"/>
  <c r="V2" i="26"/>
  <c r="U2" i="26"/>
  <c r="T2" i="26"/>
  <c r="AB3" i="26"/>
  <c r="S3" i="26"/>
  <c r="R3" i="26"/>
  <c r="Q3" i="26"/>
  <c r="P3" i="26"/>
  <c r="AB2" i="26"/>
  <c r="AA2" i="26"/>
  <c r="Z2" i="26"/>
  <c r="S2" i="26"/>
  <c r="R2" i="26"/>
  <c r="Q2" i="26"/>
  <c r="P2" i="26"/>
  <c r="Q1" i="26"/>
  <c r="R1" i="26" s="1"/>
  <c r="S1" i="26" s="1"/>
  <c r="T1" i="26" s="1"/>
  <c r="U1" i="26" s="1"/>
  <c r="V1" i="26" s="1"/>
  <c r="W1" i="26" s="1"/>
  <c r="X1" i="26" s="1"/>
  <c r="Y1" i="26" s="1"/>
  <c r="Z1" i="26" s="1"/>
  <c r="AA1" i="26" s="1"/>
  <c r="AB1" i="26" s="1"/>
  <c r="C1" i="26"/>
  <c r="D1" i="26" s="1"/>
  <c r="E1" i="26" s="1"/>
  <c r="F1" i="26" s="1"/>
  <c r="G1" i="26" s="1"/>
  <c r="H1" i="26" s="1"/>
  <c r="I1" i="26" s="1"/>
  <c r="J1" i="26" s="1"/>
  <c r="K1" i="26" s="1"/>
  <c r="L1" i="26" s="1"/>
  <c r="M1" i="26" s="1"/>
  <c r="N1" i="26" s="1"/>
  <c r="T3" i="26" l="1"/>
  <c r="U3" i="26"/>
  <c r="V3" i="26"/>
  <c r="W3" i="26"/>
  <c r="X3" i="26"/>
  <c r="Y3" i="26"/>
  <c r="U2" i="18"/>
  <c r="T3" i="18"/>
  <c r="S3" i="18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AB2" i="25"/>
  <c r="AA2" i="25"/>
  <c r="Z2" i="25"/>
  <c r="Y2" i="25"/>
  <c r="X2" i="25"/>
  <c r="W2" i="25"/>
  <c r="V2" i="25"/>
  <c r="U2" i="25"/>
  <c r="T2" i="25"/>
  <c r="S2" i="25"/>
  <c r="R2" i="25"/>
  <c r="Q2" i="25"/>
  <c r="P2" i="25"/>
  <c r="Q1" i="25"/>
  <c r="R1" i="25" s="1"/>
  <c r="S1" i="25" s="1"/>
  <c r="T1" i="25" s="1"/>
  <c r="U1" i="25" s="1"/>
  <c r="V1" i="25" s="1"/>
  <c r="W1" i="25" s="1"/>
  <c r="X1" i="25" s="1"/>
  <c r="Y1" i="25" s="1"/>
  <c r="Z1" i="25" s="1"/>
  <c r="AA1" i="25" s="1"/>
  <c r="AB1" i="25" s="1"/>
  <c r="C1" i="25"/>
  <c r="D1" i="25" s="1"/>
  <c r="E1" i="25" s="1"/>
  <c r="F1" i="25" s="1"/>
  <c r="G1" i="25" s="1"/>
  <c r="H1" i="25" s="1"/>
  <c r="I1" i="25" s="1"/>
  <c r="J1" i="25" s="1"/>
  <c r="K1" i="25" s="1"/>
  <c r="L1" i="25" s="1"/>
  <c r="M1" i="25" s="1"/>
  <c r="N1" i="25" s="1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AB2" i="24"/>
  <c r="AA2" i="24"/>
  <c r="Z2" i="24"/>
  <c r="Y2" i="24"/>
  <c r="X2" i="24"/>
  <c r="W2" i="24"/>
  <c r="V2" i="24"/>
  <c r="U2" i="24"/>
  <c r="T2" i="24"/>
  <c r="S2" i="24"/>
  <c r="R2" i="24"/>
  <c r="Q2" i="24"/>
  <c r="P2" i="24"/>
  <c r="R1" i="24"/>
  <c r="S1" i="24" s="1"/>
  <c r="T1" i="24" s="1"/>
  <c r="U1" i="24" s="1"/>
  <c r="V1" i="24" s="1"/>
  <c r="W1" i="24" s="1"/>
  <c r="X1" i="24" s="1"/>
  <c r="Y1" i="24" s="1"/>
  <c r="Z1" i="24" s="1"/>
  <c r="AA1" i="24" s="1"/>
  <c r="AB1" i="24" s="1"/>
  <c r="Q1" i="24"/>
  <c r="C1" i="24"/>
  <c r="D1" i="24" s="1"/>
  <c r="E1" i="24" s="1"/>
  <c r="F1" i="24" s="1"/>
  <c r="G1" i="24" s="1"/>
  <c r="H1" i="24" s="1"/>
  <c r="I1" i="24" s="1"/>
  <c r="J1" i="24" s="1"/>
  <c r="K1" i="24" s="1"/>
  <c r="L1" i="24" s="1"/>
  <c r="M1" i="24" s="1"/>
  <c r="N1" i="24" s="1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AB2" i="23"/>
  <c r="AA2" i="23"/>
  <c r="Z2" i="23"/>
  <c r="Y2" i="23"/>
  <c r="X2" i="23"/>
  <c r="W2" i="23"/>
  <c r="V2" i="23"/>
  <c r="U2" i="23"/>
  <c r="T2" i="23"/>
  <c r="S2" i="23"/>
  <c r="R2" i="23"/>
  <c r="Q2" i="23"/>
  <c r="P2" i="23"/>
  <c r="Q1" i="23"/>
  <c r="R1" i="23" s="1"/>
  <c r="S1" i="23" s="1"/>
  <c r="T1" i="23" s="1"/>
  <c r="U1" i="23" s="1"/>
  <c r="V1" i="23" s="1"/>
  <c r="W1" i="23" s="1"/>
  <c r="X1" i="23" s="1"/>
  <c r="Y1" i="23" s="1"/>
  <c r="Z1" i="23" s="1"/>
  <c r="AA1" i="23" s="1"/>
  <c r="AB1" i="23" s="1"/>
  <c r="C1" i="23"/>
  <c r="D1" i="23" s="1"/>
  <c r="E1" i="23" s="1"/>
  <c r="F1" i="23" s="1"/>
  <c r="G1" i="23" s="1"/>
  <c r="H1" i="23" s="1"/>
  <c r="I1" i="23" s="1"/>
  <c r="J1" i="23" s="1"/>
  <c r="K1" i="23" s="1"/>
  <c r="L1" i="23" s="1"/>
  <c r="M1" i="23" s="1"/>
  <c r="N1" i="23" s="1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AB2" i="22"/>
  <c r="AA2" i="22"/>
  <c r="Z2" i="22"/>
  <c r="Y2" i="22"/>
  <c r="X2" i="22"/>
  <c r="W2" i="22"/>
  <c r="V2" i="22"/>
  <c r="U2" i="22"/>
  <c r="T2" i="22"/>
  <c r="S2" i="22"/>
  <c r="R2" i="22"/>
  <c r="Q2" i="22"/>
  <c r="P2" i="22"/>
  <c r="R1" i="22"/>
  <c r="S1" i="22" s="1"/>
  <c r="T1" i="22" s="1"/>
  <c r="U1" i="22" s="1"/>
  <c r="V1" i="22" s="1"/>
  <c r="W1" i="22" s="1"/>
  <c r="X1" i="22" s="1"/>
  <c r="Y1" i="22" s="1"/>
  <c r="Z1" i="22" s="1"/>
  <c r="AA1" i="22" s="1"/>
  <c r="AB1" i="22" s="1"/>
  <c r="Q1" i="22"/>
  <c r="E1" i="22"/>
  <c r="F1" i="22" s="1"/>
  <c r="G1" i="22" s="1"/>
  <c r="H1" i="22" s="1"/>
  <c r="I1" i="22" s="1"/>
  <c r="J1" i="22" s="1"/>
  <c r="K1" i="22" s="1"/>
  <c r="L1" i="22" s="1"/>
  <c r="M1" i="22" s="1"/>
  <c r="N1" i="22" s="1"/>
  <c r="D1" i="22"/>
  <c r="C1" i="22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AB2" i="21"/>
  <c r="AA2" i="21"/>
  <c r="Z2" i="21"/>
  <c r="Y2" i="21"/>
  <c r="X2" i="21"/>
  <c r="W2" i="21"/>
  <c r="V2" i="21"/>
  <c r="U2" i="21"/>
  <c r="T2" i="21"/>
  <c r="S2" i="21"/>
  <c r="R2" i="21"/>
  <c r="Q2" i="21"/>
  <c r="P2" i="21"/>
  <c r="Q1" i="21"/>
  <c r="R1" i="21" s="1"/>
  <c r="S1" i="21" s="1"/>
  <c r="T1" i="21" s="1"/>
  <c r="U1" i="21" s="1"/>
  <c r="V1" i="21" s="1"/>
  <c r="W1" i="21" s="1"/>
  <c r="X1" i="21" s="1"/>
  <c r="Y1" i="21" s="1"/>
  <c r="Z1" i="21" s="1"/>
  <c r="AA1" i="21" s="1"/>
  <c r="AB1" i="21" s="1"/>
  <c r="C1" i="21"/>
  <c r="D1" i="21" s="1"/>
  <c r="E1" i="21" s="1"/>
  <c r="F1" i="21" s="1"/>
  <c r="G1" i="21" s="1"/>
  <c r="H1" i="21" s="1"/>
  <c r="I1" i="21" s="1"/>
  <c r="J1" i="21" s="1"/>
  <c r="K1" i="21" s="1"/>
  <c r="L1" i="21" s="1"/>
  <c r="M1" i="21" s="1"/>
  <c r="N1" i="21" s="1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Q1" i="20"/>
  <c r="R1" i="20" s="1"/>
  <c r="S1" i="20" s="1"/>
  <c r="T1" i="20" s="1"/>
  <c r="U1" i="20" s="1"/>
  <c r="V1" i="20" s="1"/>
  <c r="W1" i="20" s="1"/>
  <c r="X1" i="20" s="1"/>
  <c r="Y1" i="20" s="1"/>
  <c r="Z1" i="20" s="1"/>
  <c r="AA1" i="20" s="1"/>
  <c r="AB1" i="20" s="1"/>
  <c r="C1" i="20"/>
  <c r="D1" i="20" s="1"/>
  <c r="E1" i="20" s="1"/>
  <c r="F1" i="20" s="1"/>
  <c r="G1" i="20" s="1"/>
  <c r="H1" i="20" s="1"/>
  <c r="I1" i="20" s="1"/>
  <c r="J1" i="20" s="1"/>
  <c r="K1" i="20" s="1"/>
  <c r="L1" i="20" s="1"/>
  <c r="M1" i="20" s="1"/>
  <c r="N1" i="20" s="1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Q1" i="19"/>
  <c r="R1" i="19" s="1"/>
  <c r="S1" i="19" s="1"/>
  <c r="T1" i="19" s="1"/>
  <c r="U1" i="19" s="1"/>
  <c r="V1" i="19" s="1"/>
  <c r="W1" i="19" s="1"/>
  <c r="X1" i="19" s="1"/>
  <c r="Y1" i="19" s="1"/>
  <c r="Z1" i="19" s="1"/>
  <c r="AA1" i="19" s="1"/>
  <c r="AB1" i="19" s="1"/>
  <c r="C1" i="19"/>
  <c r="D1" i="19" s="1"/>
  <c r="E1" i="19" s="1"/>
  <c r="F1" i="19" s="1"/>
  <c r="G1" i="19" s="1"/>
  <c r="H1" i="19" s="1"/>
  <c r="I1" i="19" s="1"/>
  <c r="J1" i="19" s="1"/>
  <c r="K1" i="19" s="1"/>
  <c r="L1" i="19" s="1"/>
  <c r="M1" i="19" s="1"/>
  <c r="N1" i="19" s="1"/>
  <c r="AB3" i="18"/>
  <c r="AA3" i="18"/>
  <c r="Z3" i="18"/>
  <c r="Y3" i="18"/>
  <c r="X3" i="18"/>
  <c r="W3" i="18"/>
  <c r="V3" i="18"/>
  <c r="R3" i="18"/>
  <c r="Q3" i="18"/>
  <c r="P3" i="18"/>
  <c r="AB2" i="18"/>
  <c r="AA2" i="18"/>
  <c r="Z2" i="18"/>
  <c r="Y2" i="18"/>
  <c r="X2" i="18"/>
  <c r="W2" i="18"/>
  <c r="V2" i="18"/>
  <c r="T2" i="18"/>
  <c r="R2" i="18"/>
  <c r="Q2" i="18"/>
  <c r="P2" i="18"/>
  <c r="Q1" i="18"/>
  <c r="R1" i="18" s="1"/>
  <c r="S1" i="18" s="1"/>
  <c r="T1" i="18" s="1"/>
  <c r="U1" i="18" s="1"/>
  <c r="V1" i="18" s="1"/>
  <c r="W1" i="18" s="1"/>
  <c r="X1" i="18" s="1"/>
  <c r="Y1" i="18" s="1"/>
  <c r="Z1" i="18" s="1"/>
  <c r="AA1" i="18" s="1"/>
  <c r="AB1" i="18" s="1"/>
  <c r="C1" i="18"/>
  <c r="D1" i="18" s="1"/>
  <c r="E1" i="18" s="1"/>
  <c r="F1" i="18" s="1"/>
  <c r="G1" i="18" s="1"/>
  <c r="H1" i="18" s="1"/>
  <c r="I1" i="18" s="1"/>
  <c r="J1" i="18" s="1"/>
  <c r="K1" i="18" s="1"/>
  <c r="L1" i="18" s="1"/>
  <c r="M1" i="18" s="1"/>
  <c r="N1" i="18" s="1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AB2" i="17"/>
  <c r="AA2" i="17"/>
  <c r="Z2" i="17"/>
  <c r="Y2" i="17"/>
  <c r="X2" i="17"/>
  <c r="W2" i="17"/>
  <c r="V2" i="17"/>
  <c r="U2" i="17"/>
  <c r="T2" i="17"/>
  <c r="S2" i="17"/>
  <c r="R2" i="17"/>
  <c r="Q2" i="17"/>
  <c r="P2" i="17"/>
  <c r="Q1" i="17"/>
  <c r="R1" i="17" s="1"/>
  <c r="S1" i="17" s="1"/>
  <c r="T1" i="17" s="1"/>
  <c r="U1" i="17" s="1"/>
  <c r="V1" i="17" s="1"/>
  <c r="W1" i="17" s="1"/>
  <c r="X1" i="17" s="1"/>
  <c r="Y1" i="17" s="1"/>
  <c r="Z1" i="17" s="1"/>
  <c r="AA1" i="17" s="1"/>
  <c r="AB1" i="17" s="1"/>
  <c r="C1" i="17"/>
  <c r="D1" i="17" s="1"/>
  <c r="E1" i="17" s="1"/>
  <c r="F1" i="17" s="1"/>
  <c r="G1" i="17" s="1"/>
  <c r="H1" i="17" s="1"/>
  <c r="I1" i="17" s="1"/>
  <c r="J1" i="17" s="1"/>
  <c r="K1" i="17" s="1"/>
  <c r="L1" i="17" s="1"/>
  <c r="M1" i="17" s="1"/>
  <c r="N1" i="17" s="1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Q1" i="16"/>
  <c r="R1" i="16" s="1"/>
  <c r="S1" i="16" s="1"/>
  <c r="T1" i="16" s="1"/>
  <c r="U1" i="16" s="1"/>
  <c r="V1" i="16" s="1"/>
  <c r="W1" i="16" s="1"/>
  <c r="X1" i="16" s="1"/>
  <c r="Y1" i="16" s="1"/>
  <c r="Z1" i="16" s="1"/>
  <c r="AA1" i="16" s="1"/>
  <c r="AB1" i="16" s="1"/>
  <c r="C1" i="16"/>
  <c r="D1" i="16" s="1"/>
  <c r="E1" i="16" s="1"/>
  <c r="F1" i="16" s="1"/>
  <c r="G1" i="16" s="1"/>
  <c r="H1" i="16" s="1"/>
  <c r="I1" i="16" s="1"/>
  <c r="J1" i="16" s="1"/>
  <c r="K1" i="16" s="1"/>
  <c r="L1" i="16" s="1"/>
  <c r="M1" i="16" s="1"/>
  <c r="N1" i="16" s="1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Q1" i="15"/>
  <c r="R1" i="15" s="1"/>
  <c r="S1" i="15" s="1"/>
  <c r="T1" i="15" s="1"/>
  <c r="U1" i="15" s="1"/>
  <c r="V1" i="15" s="1"/>
  <c r="W1" i="15" s="1"/>
  <c r="X1" i="15" s="1"/>
  <c r="Y1" i="15" s="1"/>
  <c r="Z1" i="15" s="1"/>
  <c r="AA1" i="15" s="1"/>
  <c r="AB1" i="15" s="1"/>
  <c r="C1" i="15"/>
  <c r="D1" i="15" s="1"/>
  <c r="E1" i="15" s="1"/>
  <c r="F1" i="15" s="1"/>
  <c r="G1" i="15" s="1"/>
  <c r="H1" i="15" s="1"/>
  <c r="I1" i="15" s="1"/>
  <c r="J1" i="15" s="1"/>
  <c r="K1" i="15" s="1"/>
  <c r="L1" i="15" s="1"/>
  <c r="M1" i="15" s="1"/>
  <c r="N1" i="15" s="1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Q1" i="14"/>
  <c r="R1" i="14" s="1"/>
  <c r="S1" i="14" s="1"/>
  <c r="T1" i="14" s="1"/>
  <c r="U1" i="14" s="1"/>
  <c r="V1" i="14" s="1"/>
  <c r="W1" i="14" s="1"/>
  <c r="X1" i="14" s="1"/>
  <c r="Y1" i="14" s="1"/>
  <c r="Z1" i="14" s="1"/>
  <c r="AA1" i="14" s="1"/>
  <c r="AB1" i="14" s="1"/>
  <c r="C1" i="14"/>
  <c r="D1" i="14" s="1"/>
  <c r="E1" i="14" s="1"/>
  <c r="F1" i="14" s="1"/>
  <c r="G1" i="14" s="1"/>
  <c r="H1" i="14" s="1"/>
  <c r="I1" i="14" s="1"/>
  <c r="J1" i="14" s="1"/>
  <c r="K1" i="14" s="1"/>
  <c r="L1" i="14" s="1"/>
  <c r="M1" i="14" s="1"/>
  <c r="N1" i="14" s="1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Q1" i="13"/>
  <c r="R1" i="13" s="1"/>
  <c r="S1" i="13" s="1"/>
  <c r="T1" i="13" s="1"/>
  <c r="U1" i="13" s="1"/>
  <c r="V1" i="13" s="1"/>
  <c r="W1" i="13" s="1"/>
  <c r="X1" i="13" s="1"/>
  <c r="Y1" i="13" s="1"/>
  <c r="Z1" i="13" s="1"/>
  <c r="AA1" i="13" s="1"/>
  <c r="AB1" i="13" s="1"/>
  <c r="C1" i="13"/>
  <c r="D1" i="13" s="1"/>
  <c r="E1" i="13" s="1"/>
  <c r="F1" i="13" s="1"/>
  <c r="G1" i="13" s="1"/>
  <c r="H1" i="13" s="1"/>
  <c r="I1" i="13" s="1"/>
  <c r="J1" i="13" s="1"/>
  <c r="K1" i="13" s="1"/>
  <c r="L1" i="13" s="1"/>
  <c r="M1" i="13" s="1"/>
  <c r="N1" i="13" s="1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R1" i="12"/>
  <c r="S1" i="12" s="1"/>
  <c r="T1" i="12" s="1"/>
  <c r="U1" i="12" s="1"/>
  <c r="V1" i="12" s="1"/>
  <c r="W1" i="12" s="1"/>
  <c r="X1" i="12" s="1"/>
  <c r="Y1" i="12" s="1"/>
  <c r="Z1" i="12" s="1"/>
  <c r="AA1" i="12" s="1"/>
  <c r="AB1" i="12" s="1"/>
  <c r="Q1" i="12"/>
  <c r="E1" i="12"/>
  <c r="F1" i="12" s="1"/>
  <c r="G1" i="12" s="1"/>
  <c r="H1" i="12" s="1"/>
  <c r="I1" i="12" s="1"/>
  <c r="J1" i="12" s="1"/>
  <c r="K1" i="12" s="1"/>
  <c r="L1" i="12" s="1"/>
  <c r="M1" i="12" s="1"/>
  <c r="N1" i="12" s="1"/>
  <c r="D1" i="12"/>
  <c r="C1" i="12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Q1" i="11"/>
  <c r="R1" i="11" s="1"/>
  <c r="S1" i="11" s="1"/>
  <c r="T1" i="11" s="1"/>
  <c r="U1" i="11" s="1"/>
  <c r="V1" i="11" s="1"/>
  <c r="W1" i="11" s="1"/>
  <c r="X1" i="11" s="1"/>
  <c r="Y1" i="11" s="1"/>
  <c r="Z1" i="11" s="1"/>
  <c r="AA1" i="11" s="1"/>
  <c r="AB1" i="11" s="1"/>
  <c r="E1" i="11"/>
  <c r="F1" i="11" s="1"/>
  <c r="G1" i="11" s="1"/>
  <c r="H1" i="11" s="1"/>
  <c r="I1" i="11" s="1"/>
  <c r="J1" i="11" s="1"/>
  <c r="K1" i="11" s="1"/>
  <c r="L1" i="11" s="1"/>
  <c r="M1" i="11" s="1"/>
  <c r="N1" i="11" s="1"/>
  <c r="D1" i="11"/>
  <c r="C1" i="11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Q1" i="10"/>
  <c r="R1" i="10" s="1"/>
  <c r="S1" i="10" s="1"/>
  <c r="T1" i="10" s="1"/>
  <c r="U1" i="10" s="1"/>
  <c r="V1" i="10" s="1"/>
  <c r="W1" i="10" s="1"/>
  <c r="X1" i="10" s="1"/>
  <c r="Y1" i="10" s="1"/>
  <c r="Z1" i="10" s="1"/>
  <c r="AA1" i="10" s="1"/>
  <c r="AB1" i="10" s="1"/>
  <c r="C1" i="10"/>
  <c r="D1" i="10" s="1"/>
  <c r="E1" i="10" s="1"/>
  <c r="F1" i="10" s="1"/>
  <c r="G1" i="10" s="1"/>
  <c r="H1" i="10" s="1"/>
  <c r="I1" i="10" s="1"/>
  <c r="J1" i="10" s="1"/>
  <c r="K1" i="10" s="1"/>
  <c r="L1" i="10" s="1"/>
  <c r="M1" i="10" s="1"/>
  <c r="N1" i="10" s="1"/>
  <c r="AB3" i="9"/>
  <c r="AA3" i="9"/>
  <c r="Z3" i="9"/>
  <c r="Y3" i="9"/>
  <c r="X3" i="9"/>
  <c r="W3" i="9"/>
  <c r="V3" i="9"/>
  <c r="U3" i="9"/>
  <c r="T3" i="9"/>
  <c r="S3" i="9"/>
  <c r="R3" i="9"/>
  <c r="Q3" i="9"/>
  <c r="P3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Q1" i="9"/>
  <c r="R1" i="9" s="1"/>
  <c r="S1" i="9" s="1"/>
  <c r="T1" i="9" s="1"/>
  <c r="U1" i="9" s="1"/>
  <c r="V1" i="9" s="1"/>
  <c r="W1" i="9" s="1"/>
  <c r="X1" i="9" s="1"/>
  <c r="Y1" i="9" s="1"/>
  <c r="Z1" i="9" s="1"/>
  <c r="AA1" i="9" s="1"/>
  <c r="AB1" i="9" s="1"/>
  <c r="C1" i="9"/>
  <c r="D1" i="9" s="1"/>
  <c r="E1" i="9" s="1"/>
  <c r="F1" i="9" s="1"/>
  <c r="G1" i="9" s="1"/>
  <c r="H1" i="9" s="1"/>
  <c r="I1" i="9" s="1"/>
  <c r="J1" i="9" s="1"/>
  <c r="K1" i="9" s="1"/>
  <c r="L1" i="9" s="1"/>
  <c r="M1" i="9" s="1"/>
  <c r="N1" i="9" s="1"/>
  <c r="AB3" i="8"/>
  <c r="AA3" i="8"/>
  <c r="Z3" i="8"/>
  <c r="Y3" i="8"/>
  <c r="X3" i="8"/>
  <c r="W3" i="8"/>
  <c r="V3" i="8"/>
  <c r="U3" i="8"/>
  <c r="T3" i="8"/>
  <c r="S3" i="8"/>
  <c r="R3" i="8"/>
  <c r="Q3" i="8"/>
  <c r="P3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Q1" i="8"/>
  <c r="R1" i="8" s="1"/>
  <c r="S1" i="8" s="1"/>
  <c r="T1" i="8" s="1"/>
  <c r="U1" i="8" s="1"/>
  <c r="V1" i="8" s="1"/>
  <c r="W1" i="8" s="1"/>
  <c r="X1" i="8" s="1"/>
  <c r="Y1" i="8" s="1"/>
  <c r="Z1" i="8" s="1"/>
  <c r="AA1" i="8" s="1"/>
  <c r="AB1" i="8" s="1"/>
  <c r="C1" i="8"/>
  <c r="D1" i="8" s="1"/>
  <c r="E1" i="8" s="1"/>
  <c r="F1" i="8" s="1"/>
  <c r="G1" i="8" s="1"/>
  <c r="H1" i="8" s="1"/>
  <c r="I1" i="8" s="1"/>
  <c r="J1" i="8" s="1"/>
  <c r="K1" i="8" s="1"/>
  <c r="L1" i="8" s="1"/>
  <c r="M1" i="8" s="1"/>
  <c r="N1" i="8" s="1"/>
  <c r="AB3" i="7"/>
  <c r="AA3" i="7"/>
  <c r="Z3" i="7"/>
  <c r="Y3" i="7"/>
  <c r="X3" i="7"/>
  <c r="W3" i="7"/>
  <c r="V3" i="7"/>
  <c r="U3" i="7"/>
  <c r="T3" i="7"/>
  <c r="S3" i="7"/>
  <c r="R3" i="7"/>
  <c r="Q3" i="7"/>
  <c r="P3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Q1" i="7"/>
  <c r="R1" i="7" s="1"/>
  <c r="S1" i="7" s="1"/>
  <c r="T1" i="7" s="1"/>
  <c r="U1" i="7" s="1"/>
  <c r="V1" i="7" s="1"/>
  <c r="W1" i="7" s="1"/>
  <c r="X1" i="7" s="1"/>
  <c r="Y1" i="7" s="1"/>
  <c r="Z1" i="7" s="1"/>
  <c r="AA1" i="7" s="1"/>
  <c r="AB1" i="7" s="1"/>
  <c r="C1" i="7"/>
  <c r="D1" i="7" s="1"/>
  <c r="E1" i="7" s="1"/>
  <c r="F1" i="7" s="1"/>
  <c r="G1" i="7" s="1"/>
  <c r="H1" i="7" s="1"/>
  <c r="I1" i="7" s="1"/>
  <c r="J1" i="7" s="1"/>
  <c r="K1" i="7" s="1"/>
  <c r="L1" i="7" s="1"/>
  <c r="M1" i="7" s="1"/>
  <c r="N1" i="7" s="1"/>
  <c r="AB3" i="6"/>
  <c r="AA3" i="6"/>
  <c r="Z3" i="6"/>
  <c r="Y3" i="6"/>
  <c r="X3" i="6"/>
  <c r="W3" i="6"/>
  <c r="V3" i="6"/>
  <c r="U3" i="6"/>
  <c r="T3" i="6"/>
  <c r="S3" i="6"/>
  <c r="R3" i="6"/>
  <c r="Q3" i="6"/>
  <c r="P3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Q1" i="6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D1" i="6"/>
  <c r="E1" i="6" s="1"/>
  <c r="F1" i="6" s="1"/>
  <c r="G1" i="6" s="1"/>
  <c r="H1" i="6" s="1"/>
  <c r="I1" i="6" s="1"/>
  <c r="J1" i="6" s="1"/>
  <c r="K1" i="6" s="1"/>
  <c r="L1" i="6" s="1"/>
  <c r="M1" i="6" s="1"/>
  <c r="N1" i="6" s="1"/>
  <c r="C1" i="6"/>
  <c r="AB3" i="5"/>
  <c r="AA3" i="5"/>
  <c r="Z3" i="5"/>
  <c r="Y3" i="5"/>
  <c r="X3" i="5"/>
  <c r="W3" i="5"/>
  <c r="V3" i="5"/>
  <c r="U3" i="5"/>
  <c r="T3" i="5"/>
  <c r="S3" i="5"/>
  <c r="R3" i="5"/>
  <c r="Q3" i="5"/>
  <c r="P3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Q1" i="5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C1" i="5"/>
  <c r="D1" i="5" s="1"/>
  <c r="E1" i="5" s="1"/>
  <c r="F1" i="5" s="1"/>
  <c r="G1" i="5" s="1"/>
  <c r="H1" i="5" s="1"/>
  <c r="I1" i="5" s="1"/>
  <c r="J1" i="5" s="1"/>
  <c r="K1" i="5" s="1"/>
  <c r="L1" i="5" s="1"/>
  <c r="M1" i="5" s="1"/>
  <c r="N1" i="5" s="1"/>
  <c r="AB3" i="4"/>
  <c r="AA3" i="4"/>
  <c r="Z3" i="4"/>
  <c r="Y3" i="4"/>
  <c r="X3" i="4"/>
  <c r="W3" i="4"/>
  <c r="V3" i="4"/>
  <c r="U3" i="4"/>
  <c r="T3" i="4"/>
  <c r="S3" i="4"/>
  <c r="R3" i="4"/>
  <c r="Q3" i="4"/>
  <c r="P3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R1" i="4"/>
  <c r="S1" i="4" s="1"/>
  <c r="T1" i="4" s="1"/>
  <c r="U1" i="4" s="1"/>
  <c r="V1" i="4" s="1"/>
  <c r="W1" i="4" s="1"/>
  <c r="X1" i="4" s="1"/>
  <c r="Y1" i="4" s="1"/>
  <c r="Z1" i="4" s="1"/>
  <c r="AA1" i="4" s="1"/>
  <c r="AB1" i="4" s="1"/>
  <c r="Q1" i="4"/>
  <c r="D1" i="4"/>
  <c r="E1" i="4" s="1"/>
  <c r="F1" i="4" s="1"/>
  <c r="G1" i="4" s="1"/>
  <c r="H1" i="4" s="1"/>
  <c r="I1" i="4" s="1"/>
  <c r="J1" i="4" s="1"/>
  <c r="K1" i="4" s="1"/>
  <c r="L1" i="4" s="1"/>
  <c r="M1" i="4" s="1"/>
  <c r="N1" i="4" s="1"/>
  <c r="C1" i="4"/>
  <c r="AB3" i="3"/>
  <c r="AA3" i="3"/>
  <c r="Z3" i="3"/>
  <c r="Y3" i="3"/>
  <c r="X3" i="3"/>
  <c r="W3" i="3"/>
  <c r="V3" i="3"/>
  <c r="U3" i="3"/>
  <c r="T3" i="3"/>
  <c r="S3" i="3"/>
  <c r="R3" i="3"/>
  <c r="Q3" i="3"/>
  <c r="P3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R1" i="3"/>
  <c r="S1" i="3" s="1"/>
  <c r="T1" i="3" s="1"/>
  <c r="U1" i="3" s="1"/>
  <c r="V1" i="3" s="1"/>
  <c r="W1" i="3" s="1"/>
  <c r="X1" i="3" s="1"/>
  <c r="Y1" i="3" s="1"/>
  <c r="Z1" i="3" s="1"/>
  <c r="AA1" i="3" s="1"/>
  <c r="AB1" i="3" s="1"/>
  <c r="Q1" i="3"/>
  <c r="C1" i="3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AB3" i="2"/>
  <c r="AA3" i="2"/>
  <c r="Z3" i="2"/>
  <c r="Y3" i="2"/>
  <c r="X3" i="2"/>
  <c r="W3" i="2"/>
  <c r="V3" i="2"/>
  <c r="U3" i="2"/>
  <c r="T3" i="2"/>
  <c r="S3" i="2"/>
  <c r="R3" i="2"/>
  <c r="Q3" i="2"/>
  <c r="P3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R1" i="2"/>
  <c r="S1" i="2" s="1"/>
  <c r="T1" i="2" s="1"/>
  <c r="U1" i="2" s="1"/>
  <c r="V1" i="2" s="1"/>
  <c r="W1" i="2" s="1"/>
  <c r="X1" i="2" s="1"/>
  <c r="Y1" i="2" s="1"/>
  <c r="Z1" i="2" s="1"/>
  <c r="AA1" i="2" s="1"/>
  <c r="AB1" i="2" s="1"/>
  <c r="Q1" i="2"/>
  <c r="E1" i="2"/>
  <c r="F1" i="2" s="1"/>
  <c r="G1" i="2" s="1"/>
  <c r="H1" i="2" s="1"/>
  <c r="I1" i="2" s="1"/>
  <c r="J1" i="2" s="1"/>
  <c r="K1" i="2" s="1"/>
  <c r="L1" i="2" s="1"/>
  <c r="M1" i="2" s="1"/>
  <c r="N1" i="2" s="1"/>
  <c r="D1" i="2"/>
  <c r="C1" i="2"/>
  <c r="Q3" i="1"/>
  <c r="R3" i="1"/>
  <c r="S3" i="1"/>
  <c r="T3" i="1"/>
  <c r="U3" i="1"/>
  <c r="V3" i="1"/>
  <c r="W3" i="1"/>
  <c r="X3" i="1"/>
  <c r="Y3" i="1"/>
  <c r="Z3" i="1"/>
  <c r="AA3" i="1"/>
  <c r="AB3" i="1"/>
  <c r="P3" i="1"/>
  <c r="Q2" i="1"/>
  <c r="R2" i="1"/>
  <c r="S2" i="1"/>
  <c r="T2" i="1"/>
  <c r="U2" i="1"/>
  <c r="V2" i="1"/>
  <c r="W2" i="1"/>
  <c r="X2" i="1"/>
  <c r="Y2" i="1"/>
  <c r="Z2" i="1"/>
  <c r="AA2" i="1"/>
  <c r="AB2" i="1"/>
  <c r="Q1" i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P2" i="1"/>
  <c r="D1" i="1"/>
  <c r="E1" i="1"/>
  <c r="F1" i="1"/>
  <c r="G1" i="1" s="1"/>
  <c r="H1" i="1" s="1"/>
  <c r="I1" i="1" s="1"/>
  <c r="J1" i="1" s="1"/>
  <c r="K1" i="1" s="1"/>
  <c r="L1" i="1" s="1"/>
  <c r="M1" i="1" s="1"/>
  <c r="N1" i="1" s="1"/>
  <c r="C1" i="1"/>
  <c r="U3" i="18" l="1"/>
  <c r="S2" i="18"/>
</calcChain>
</file>

<file path=xl/sharedStrings.xml><?xml version="1.0" encoding="utf-8"?>
<sst xmlns="http://schemas.openxmlformats.org/spreadsheetml/2006/main" count="112" uniqueCount="3">
  <si>
    <t>Concentration</t>
  </si>
  <si>
    <t>Averaged out values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</si>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</sst>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  <charset val="129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0" fontId="3" fillId="0" borderId="0" xfId="1" applyFo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</cellXfs>
  <cellStyles count="2">
    <cellStyle name="Normal" xfId="0" builtinId="0"/>
    <cellStyle name="Normal 2" xfId="1" xr:uid="{30547702-6869-4E64-AB76-2790E57AC9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ED7B-5AD6-47C7-A50A-7ABEA3418262}">
  <dimension ref="A1:AB27"/>
  <sheetViews>
    <sheetView workbookViewId="0">
      <selection activeCell="D30" sqref="D30"/>
    </sheetView>
  </sheetViews>
  <sheetFormatPr defaultRowHeight="15"/>
  <cols>
    <col min="15" max="15" width="19.140625" customWidth="1"/>
  </cols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-0.48816176221417396</v>
      </c>
      <c r="F2">
        <v>-0.16295251637015343</v>
      </c>
      <c r="G2">
        <v>78.141116502480102</v>
      </c>
      <c r="H2">
        <v>90.681657588015511</v>
      </c>
      <c r="I2">
        <v>88.7754790847804</v>
      </c>
      <c r="J2">
        <v>104.57124854317546</v>
      </c>
      <c r="K2">
        <v>120.83181893890657</v>
      </c>
      <c r="L2">
        <v>112.49597881305141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-0.19389911509048988</v>
      </c>
      <c r="T2">
        <f t="shared" si="2"/>
        <v>1.0440172493545912</v>
      </c>
      <c r="U2">
        <f t="shared" si="2"/>
        <v>39.879995574089307</v>
      </c>
      <c r="V2">
        <f t="shared" si="2"/>
        <v>81.28970105851451</v>
      </c>
      <c r="W2">
        <f t="shared" si="2"/>
        <v>87.734667899549549</v>
      </c>
      <c r="X2">
        <f t="shared" si="2"/>
        <v>105.52970211488612</v>
      </c>
      <c r="Y2">
        <f t="shared" si="2"/>
        <v>104.12152100363603</v>
      </c>
      <c r="Z2">
        <f t="shared" si="2"/>
        <v>100.83138608083253</v>
      </c>
      <c r="AA2">
        <f t="shared" si="2"/>
        <v>98.947546012391911</v>
      </c>
      <c r="AB2">
        <f t="shared" si="2"/>
        <v>99.548989945906612</v>
      </c>
    </row>
    <row r="3" spans="1:28">
      <c r="A3" s="1"/>
      <c r="E3">
        <v>-0.47979941685842142</v>
      </c>
      <c r="F3">
        <v>6.2256517161342142</v>
      </c>
      <c r="G3">
        <v>73.967530210396518</v>
      </c>
      <c r="H3">
        <v>91.187111097682262</v>
      </c>
      <c r="I3">
        <v>97.01319405376347</v>
      </c>
      <c r="J3">
        <v>114.72553674566983</v>
      </c>
      <c r="K3">
        <v>110.21143119924794</v>
      </c>
      <c r="L3">
        <v>100.77270815397792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0.22540816267975705</v>
      </c>
      <c r="T3">
        <f t="shared" si="3"/>
        <v>2.5404322447619605</v>
      </c>
      <c r="U3">
        <f t="shared" si="3"/>
        <v>34.286814314276448</v>
      </c>
      <c r="V3">
        <f t="shared" si="3"/>
        <v>11.695741067562521</v>
      </c>
      <c r="W3">
        <f t="shared" si="3"/>
        <v>6.3665439476321888</v>
      </c>
      <c r="X3">
        <f t="shared" si="3"/>
        <v>7.6674932068797492</v>
      </c>
      <c r="Y3">
        <f t="shared" si="3"/>
        <v>9.6763754597950076</v>
      </c>
      <c r="Z3">
        <f t="shared" si="3"/>
        <v>6.4989662465428282</v>
      </c>
      <c r="AA3">
        <f t="shared" si="3"/>
        <v>0.83591784143981951</v>
      </c>
      <c r="AB3">
        <f t="shared" si="3"/>
        <v>3.1579314792708972</v>
      </c>
    </row>
    <row r="4" spans="1:28">
      <c r="A4" s="1"/>
    </row>
    <row r="5" spans="1:28">
      <c r="A5" s="1"/>
      <c r="E5">
        <v>-5.1141602610089071E-2</v>
      </c>
      <c r="F5">
        <v>3.8546579850007749E-2</v>
      </c>
      <c r="G5">
        <v>37.72585000755862</v>
      </c>
      <c r="H5">
        <v>89.298428928710393</v>
      </c>
      <c r="I5">
        <v>92.990796133639776</v>
      </c>
      <c r="J5">
        <v>101.84366911095339</v>
      </c>
      <c r="K5">
        <v>99.301728948703769</v>
      </c>
      <c r="L5">
        <v>92.60462222718985</v>
      </c>
      <c r="M5">
        <v>99.538629186588821</v>
      </c>
      <c r="N5">
        <v>101.78198470942152</v>
      </c>
    </row>
    <row r="6" spans="1:28">
      <c r="A6" s="1"/>
      <c r="E6">
        <v>-2.1917907452133168E-2</v>
      </c>
      <c r="F6">
        <v>3.15380158463935E-2</v>
      </c>
      <c r="G6">
        <v>49.19196908504518</v>
      </c>
      <c r="H6">
        <v>82.672058019667062</v>
      </c>
      <c r="I6">
        <v>81.173917376926312</v>
      </c>
      <c r="J6">
        <v>95.931761663456541</v>
      </c>
      <c r="K6">
        <v>98.198795625134963</v>
      </c>
      <c r="L6">
        <v>98.56074749464139</v>
      </c>
      <c r="M6">
        <v>98.356462838194986</v>
      </c>
      <c r="N6">
        <v>97.315995182391688</v>
      </c>
    </row>
    <row r="7" spans="1:28">
      <c r="A7" s="1"/>
    </row>
    <row r="8" spans="1:28">
      <c r="A8" s="1"/>
      <c r="E8">
        <v>-4.4870487444261906E-2</v>
      </c>
      <c r="F8">
        <v>0.14445173596102451</v>
      </c>
      <c r="G8">
        <v>0.30158666281931135</v>
      </c>
      <c r="H8">
        <v>63.751863473003226</v>
      </c>
      <c r="I8">
        <v>81.780382851710769</v>
      </c>
      <c r="J8">
        <v>101.34371724277158</v>
      </c>
      <c r="K8">
        <v>101.32045531583054</v>
      </c>
      <c r="L8">
        <v>101.19003781672956</v>
      </c>
    </row>
    <row r="9" spans="1:28">
      <c r="A9" s="1"/>
      <c r="E9">
        <v>-7.7503513963859835E-2</v>
      </c>
      <c r="F9">
        <v>-1.3132035293939252E-2</v>
      </c>
      <c r="G9">
        <v>-4.8079023763904882E-2</v>
      </c>
      <c r="H9">
        <v>70.147087244008574</v>
      </c>
      <c r="I9">
        <v>84.67423789647664</v>
      </c>
      <c r="J9">
        <v>114.76227938329001</v>
      </c>
      <c r="K9">
        <v>94.864895993992363</v>
      </c>
      <c r="L9">
        <v>99.364221979405016</v>
      </c>
    </row>
    <row r="10" spans="1:28">
      <c r="A10" s="1"/>
    </row>
    <row r="11" spans="1:28">
      <c r="A11" s="1"/>
    </row>
    <row r="12" spans="1:28">
      <c r="A12" s="1"/>
    </row>
    <row r="13" spans="1:28">
      <c r="A13" s="1"/>
    </row>
    <row r="14" spans="1:28">
      <c r="A14" s="1"/>
    </row>
    <row r="15" spans="1:28">
      <c r="A15" s="1"/>
    </row>
    <row r="16" spans="1:28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3"/>
    </row>
    <row r="27" spans="1:1">
      <c r="A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D3E2-4FC2-467B-B98E-9E7B06364D68}">
  <dimension ref="A1:AB9"/>
  <sheetViews>
    <sheetView workbookViewId="0">
      <selection activeCell="E8" sqref="E8:N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-2.1959805513811772</v>
      </c>
      <c r="F2">
        <v>-0.18728258546316551</v>
      </c>
      <c r="G2">
        <v>-0.80788588117118276</v>
      </c>
      <c r="H2">
        <v>-0.87398565342888079</v>
      </c>
      <c r="I2">
        <v>-0.91437980669701169</v>
      </c>
      <c r="J2">
        <v>86.238139545385479</v>
      </c>
      <c r="K2">
        <v>95.631648463508725</v>
      </c>
      <c r="L2">
        <v>97.666047944403815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-1.7495499796125642</v>
      </c>
      <c r="T2">
        <f t="shared" si="2"/>
        <v>-1.1080616348040693</v>
      </c>
      <c r="U2">
        <f t="shared" si="2"/>
        <v>-1.3375016423947155</v>
      </c>
      <c r="V2">
        <f t="shared" si="2"/>
        <v>6.9517086901094451</v>
      </c>
      <c r="W2">
        <f t="shared" si="2"/>
        <v>26.962337696929897</v>
      </c>
      <c r="X2">
        <f t="shared" si="2"/>
        <v>93.461597265309891</v>
      </c>
      <c r="Y2">
        <f t="shared" si="2"/>
        <v>95.686370954018301</v>
      </c>
      <c r="Z2">
        <f t="shared" si="2"/>
        <v>95.98973462834941</v>
      </c>
      <c r="AA2">
        <f t="shared" si="2"/>
        <v>87.879449960271387</v>
      </c>
      <c r="AB2">
        <f t="shared" si="2"/>
        <v>96.731035872323176</v>
      </c>
    </row>
    <row r="3" spans="1:28">
      <c r="A3" s="1"/>
      <c r="E3">
        <v>-2.1702750691920261</v>
      </c>
      <c r="F3">
        <v>0.38558174263577449</v>
      </c>
      <c r="G3">
        <v>-0.52879798426099467</v>
      </c>
      <c r="H3">
        <v>-0.8960187284475587</v>
      </c>
      <c r="I3">
        <v>-0.92539634420635064</v>
      </c>
      <c r="J3">
        <v>84.424065342660512</v>
      </c>
      <c r="K3">
        <v>97.908418883230908</v>
      </c>
      <c r="L3">
        <v>95.763843630410804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0.66715955471102462</v>
      </c>
      <c r="T3">
        <f t="shared" si="3"/>
        <v>0.96334106131769892</v>
      </c>
      <c r="U3">
        <f t="shared" si="3"/>
        <v>0.52769776876239038</v>
      </c>
      <c r="V3">
        <f t="shared" si="3"/>
        <v>16.517226009421705</v>
      </c>
      <c r="W3">
        <f t="shared" si="3"/>
        <v>42.986071947207797</v>
      </c>
      <c r="X3">
        <f t="shared" si="3"/>
        <v>7.9523951311316683</v>
      </c>
      <c r="Y3">
        <f t="shared" si="3"/>
        <v>1.5039969551860057</v>
      </c>
      <c r="Z3">
        <f t="shared" si="3"/>
        <v>2.8145087978037355</v>
      </c>
      <c r="AA3">
        <f t="shared" si="3"/>
        <v>1.4806670122617227</v>
      </c>
      <c r="AB3">
        <f t="shared" si="3"/>
        <v>4.9737009009354978</v>
      </c>
    </row>
    <row r="5" spans="1:28">
      <c r="E5">
        <v>-2.6217825444905314</v>
      </c>
      <c r="F5">
        <v>-1.925069177115428</v>
      </c>
      <c r="G5">
        <v>-1.7474758211386061</v>
      </c>
      <c r="H5">
        <v>39.981558170489357</v>
      </c>
      <c r="I5">
        <v>80.672348882273411</v>
      </c>
      <c r="J5">
        <v>91.767851939814904</v>
      </c>
      <c r="K5">
        <v>93.664007188108044</v>
      </c>
      <c r="L5">
        <v>94.396237028171569</v>
      </c>
    </row>
    <row r="6" spans="1:28">
      <c r="E6">
        <v>-1.3294476378611775</v>
      </c>
      <c r="F6">
        <v>-1.8103164782005572</v>
      </c>
      <c r="G6">
        <v>-1.6873670125307252</v>
      </c>
      <c r="H6">
        <v>6.9327531981041952</v>
      </c>
      <c r="I6">
        <v>84.202362842700964</v>
      </c>
      <c r="J6">
        <v>92.527408407037456</v>
      </c>
      <c r="K6">
        <v>94.677658946294315</v>
      </c>
      <c r="L6">
        <v>99.71584867620868</v>
      </c>
    </row>
    <row r="8" spans="1:28">
      <c r="E8">
        <v>-1.2342438891043221</v>
      </c>
      <c r="F8">
        <v>-1.5538435182180443</v>
      </c>
      <c r="G8">
        <v>-1.6303561203363428</v>
      </c>
      <c r="H8">
        <v>-1.7262478186661026</v>
      </c>
      <c r="I8">
        <v>-0.99422261844123938</v>
      </c>
      <c r="J8">
        <v>102.58170349826723</v>
      </c>
      <c r="K8">
        <v>96.784975158881451</v>
      </c>
      <c r="L8">
        <v>91.561550506617593</v>
      </c>
      <c r="M8">
        <v>86.832460275221891</v>
      </c>
      <c r="N8">
        <v>100.24797350696831</v>
      </c>
    </row>
    <row r="9" spans="1:28">
      <c r="E9">
        <v>-0.94557018564615147</v>
      </c>
      <c r="F9">
        <v>-1.5574397924629941</v>
      </c>
      <c r="G9">
        <v>-1.6231270349304403</v>
      </c>
      <c r="H9">
        <v>-1.7078070273943413</v>
      </c>
      <c r="I9">
        <v>-0.26668677405040969</v>
      </c>
      <c r="J9">
        <v>103.23041485869382</v>
      </c>
      <c r="K9">
        <v>95.451517084086362</v>
      </c>
      <c r="L9">
        <v>96.834879984283887</v>
      </c>
      <c r="M9">
        <v>88.926439645320869</v>
      </c>
      <c r="N9">
        <v>93.214098237678044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5594-2BBF-4595-B53D-F742974B90F6}">
  <dimension ref="A1:AB9"/>
  <sheetViews>
    <sheetView topLeftCell="E1" workbookViewId="0">
      <selection activeCell="Z27" sqref="Z27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-2.2069970888905162</v>
      </c>
      <c r="F2">
        <v>1.5092773238149768</v>
      </c>
      <c r="G2">
        <v>-9.1805197446675507E-2</v>
      </c>
      <c r="H2">
        <v>-0.6756863366557867</v>
      </c>
      <c r="I2">
        <v>-0.87398565342888079</v>
      </c>
      <c r="J2">
        <v>-0.8960187284475587</v>
      </c>
      <c r="K2">
        <v>-0.78952480292172977</v>
      </c>
      <c r="L2">
        <v>100.51201315786319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5.3061015618733665E-2</v>
      </c>
      <c r="T2">
        <f t="shared" si="2"/>
        <v>-0.15549512590433218</v>
      </c>
      <c r="U2">
        <f t="shared" si="2"/>
        <v>-1.0500684270164333</v>
      </c>
      <c r="V2">
        <f t="shared" si="2"/>
        <v>-1.2993249376866201</v>
      </c>
      <c r="W2">
        <f t="shared" si="2"/>
        <v>-0.98660704011039113</v>
      </c>
      <c r="X2">
        <f t="shared" si="2"/>
        <v>19.233177821847878</v>
      </c>
      <c r="Y2">
        <f t="shared" si="2"/>
        <v>60.305362712006534</v>
      </c>
      <c r="Z2">
        <f t="shared" si="2"/>
        <v>98.7269270767503</v>
      </c>
      <c r="AA2">
        <f t="shared" si="2"/>
        <v>90.989362372117768</v>
      </c>
      <c r="AB2">
        <f t="shared" si="2"/>
        <v>101.39736206394491</v>
      </c>
    </row>
    <row r="3" spans="1:28">
      <c r="A3" s="1"/>
      <c r="E3">
        <v>-2.0233867167972339</v>
      </c>
      <c r="F3">
        <v>0.97680742258499986</v>
      </c>
      <c r="G3">
        <v>-0.14321616182497757</v>
      </c>
      <c r="H3">
        <v>-0.7748359950423338</v>
      </c>
      <c r="I3">
        <v>-0.90336326918767273</v>
      </c>
      <c r="J3">
        <v>-0.92539634420635064</v>
      </c>
      <c r="K3">
        <v>-0.88500219093821975</v>
      </c>
      <c r="L3">
        <v>97.897396052902437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2.1343398743333943</v>
      </c>
      <c r="T3">
        <f t="shared" si="3"/>
        <v>1.1404935194007242</v>
      </c>
      <c r="U3">
        <f t="shared" si="3"/>
        <v>0.74203012645383803</v>
      </c>
      <c r="V3">
        <f t="shared" si="3"/>
        <v>0.44725423791130114</v>
      </c>
      <c r="W3">
        <f t="shared" si="3"/>
        <v>0.57716694376823907</v>
      </c>
      <c r="X3">
        <f t="shared" si="3"/>
        <v>31.691771908265437</v>
      </c>
      <c r="Y3">
        <f t="shared" si="3"/>
        <v>47.922430495158096</v>
      </c>
      <c r="Z3">
        <f t="shared" si="3"/>
        <v>2.2222801307890934</v>
      </c>
      <c r="AA3">
        <f t="shared" si="3"/>
        <v>1.8636299223362398</v>
      </c>
      <c r="AB3">
        <f t="shared" si="3"/>
        <v>1.7022694916023764</v>
      </c>
    </row>
    <row r="5" spans="1:28">
      <c r="E5">
        <v>-0.22836695800266368</v>
      </c>
      <c r="F5">
        <v>-1.0808164509365263</v>
      </c>
      <c r="G5">
        <v>-1.7747975627266426</v>
      </c>
      <c r="H5">
        <v>-1.5452921648969009</v>
      </c>
      <c r="I5">
        <v>-6.7166728404847137E-2</v>
      </c>
      <c r="J5">
        <v>59.229975097644058</v>
      </c>
      <c r="K5">
        <v>97.087463587852014</v>
      </c>
      <c r="L5">
        <v>101.4098194539983</v>
      </c>
    </row>
    <row r="6" spans="1:28">
      <c r="E6">
        <v>-0.13000738546679808</v>
      </c>
      <c r="F6">
        <v>-1.302125489142224</v>
      </c>
      <c r="G6">
        <v>-1.6190618442988001</v>
      </c>
      <c r="H6">
        <v>-1.6463839930177537</v>
      </c>
      <c r="I6">
        <v>-0.8513110531067849</v>
      </c>
      <c r="J6">
        <v>61.046892898318006</v>
      </c>
      <c r="K6">
        <v>100.74043108525856</v>
      </c>
      <c r="L6">
        <v>99.71584867620868</v>
      </c>
    </row>
    <row r="8" spans="1:28">
      <c r="E8">
        <v>1.5261978961238849</v>
      </c>
      <c r="F8">
        <v>-0.42814483353381549</v>
      </c>
      <c r="G8">
        <v>-1.3267283391609559</v>
      </c>
      <c r="H8">
        <v>-1.552902237328168</v>
      </c>
      <c r="I8">
        <v>-1.5993020036471215</v>
      </c>
      <c r="J8">
        <v>-1.3163322399845225</v>
      </c>
      <c r="K8">
        <v>81.728790512321794</v>
      </c>
      <c r="L8">
        <v>97.397072152717712</v>
      </c>
      <c r="M8">
        <v>92.307147727823875</v>
      </c>
      <c r="N8">
        <v>102.60104836486393</v>
      </c>
    </row>
    <row r="9" spans="1:28">
      <c r="E9">
        <v>3.3809263467457282</v>
      </c>
      <c r="F9">
        <v>-0.60796872821340364</v>
      </c>
      <c r="G9">
        <v>-1.344801456640548</v>
      </c>
      <c r="H9">
        <v>-1.600848899178777</v>
      </c>
      <c r="I9">
        <v>-1.6245135328870397</v>
      </c>
      <c r="J9">
        <v>-1.7400537522363633</v>
      </c>
      <c r="K9">
        <v>83.950018080466833</v>
      </c>
      <c r="L9">
        <v>95.429412966811356</v>
      </c>
      <c r="M9">
        <v>89.671577016411646</v>
      </c>
      <c r="N9">
        <v>100.19367576302589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D2A0-87FD-4705-81EA-9D406F569871}">
  <dimension ref="A1:AB9"/>
  <sheetViews>
    <sheetView workbookViewId="0">
      <selection activeCell="G20" sqref="G20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-2.1519139909425733</v>
      </c>
      <c r="F2">
        <v>1.8581375369537523</v>
      </c>
      <c r="G2">
        <v>0.46269832600364369</v>
      </c>
      <c r="H2">
        <v>-0.45535367126318255</v>
      </c>
      <c r="I2">
        <v>-0.62427537227748464</v>
      </c>
      <c r="J2">
        <v>-0.72709730103408876</v>
      </c>
      <c r="K2">
        <v>-0.80788588117118276</v>
      </c>
      <c r="L2">
        <v>96.494616131623857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3.3077728298692523E-2</v>
      </c>
      <c r="T2">
        <f t="shared" si="2"/>
        <v>0.27836880141353232</v>
      </c>
      <c r="U2">
        <f t="shared" si="2"/>
        <v>-0.57938132458919778</v>
      </c>
      <c r="V2">
        <f t="shared" si="2"/>
        <v>-1.0154130636446661</v>
      </c>
      <c r="W2">
        <f t="shared" si="2"/>
        <v>-0.54267606606039231</v>
      </c>
      <c r="X2">
        <f t="shared" si="2"/>
        <v>28.301464864025267</v>
      </c>
      <c r="Y2">
        <f t="shared" si="2"/>
        <v>48.115781727556794</v>
      </c>
      <c r="Z2">
        <f t="shared" si="2"/>
        <v>95.798552231702232</v>
      </c>
      <c r="AA2">
        <f t="shared" si="2"/>
        <v>93.888840528877964</v>
      </c>
      <c r="AB2">
        <f t="shared" si="2"/>
        <v>102.41461402723425</v>
      </c>
    </row>
    <row r="3" spans="1:28">
      <c r="A3" s="1"/>
      <c r="E3">
        <v>-2.1923082810111199</v>
      </c>
      <c r="F3">
        <v>2.0380755018765613</v>
      </c>
      <c r="G3">
        <v>0.4443372477541907</v>
      </c>
      <c r="H3">
        <v>-0.43332059624450459</v>
      </c>
      <c r="I3">
        <v>-0.73076929780331368</v>
      </c>
      <c r="J3">
        <v>-0.90336326918767273</v>
      </c>
      <c r="K3">
        <v>-0.51043690601154157</v>
      </c>
      <c r="L3">
        <v>96.89121038755674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2.0779457701595603</v>
      </c>
      <c r="T3">
        <f t="shared" si="3"/>
        <v>1.3291807397793574</v>
      </c>
      <c r="U3">
        <f t="shared" si="3"/>
        <v>0.81613098868647893</v>
      </c>
      <c r="V3">
        <f t="shared" si="3"/>
        <v>0.45625750219349903</v>
      </c>
      <c r="W3">
        <f t="shared" si="3"/>
        <v>1.4032743828681882</v>
      </c>
      <c r="X3">
        <f t="shared" si="3"/>
        <v>45.852187127386266</v>
      </c>
      <c r="Y3">
        <f t="shared" si="3"/>
        <v>51.665924492617556</v>
      </c>
      <c r="Z3">
        <f t="shared" si="3"/>
        <v>4.7901735297522787</v>
      </c>
      <c r="AA3">
        <f t="shared" si="3"/>
        <v>1.9197405110528305</v>
      </c>
      <c r="AB3">
        <f t="shared" si="3"/>
        <v>1.9428884373824076</v>
      </c>
    </row>
    <row r="5" spans="1:28">
      <c r="E5">
        <v>0.50113266213044994</v>
      </c>
      <c r="F5">
        <v>-0.75295148057091921</v>
      </c>
      <c r="G5">
        <v>-0.91415171016873586</v>
      </c>
      <c r="H5">
        <v>-1.1573183859234126</v>
      </c>
      <c r="I5">
        <v>-0.862239668315816</v>
      </c>
      <c r="J5">
        <v>93.429037279108343</v>
      </c>
      <c r="K5">
        <v>100.32513149338786</v>
      </c>
      <c r="L5">
        <v>100.84152332051033</v>
      </c>
    </row>
    <row r="6" spans="1:28">
      <c r="E6">
        <v>-0.35678093484246981</v>
      </c>
      <c r="F6">
        <v>-1.0015826674955703</v>
      </c>
      <c r="G6">
        <v>-1.3868241908840715</v>
      </c>
      <c r="H6">
        <v>-1.302125489142224</v>
      </c>
      <c r="I6">
        <v>2.1814417548642093</v>
      </c>
      <c r="J6">
        <v>81.134093969172469</v>
      </c>
      <c r="K6">
        <v>99.049189713137523</v>
      </c>
      <c r="L6">
        <v>99.71584867620868</v>
      </c>
    </row>
    <row r="8" spans="1:28">
      <c r="E8">
        <v>3.225764318512657</v>
      </c>
      <c r="F8">
        <v>-0.30946081652324686</v>
      </c>
      <c r="G8">
        <v>-1.0953930279039372</v>
      </c>
      <c r="H8">
        <v>-1.4975790391346615</v>
      </c>
      <c r="I8">
        <v>-1.6425218830633175</v>
      </c>
      <c r="J8">
        <v>-1.597563403885863</v>
      </c>
      <c r="K8">
        <v>4.9886131527280391</v>
      </c>
      <c r="L8">
        <v>87.731173481480354</v>
      </c>
      <c r="M8">
        <v>95.246302062361949</v>
      </c>
      <c r="N8">
        <v>101.04078443807222</v>
      </c>
    </row>
    <row r="9" spans="1:28">
      <c r="E9">
        <v>1.1725725959452113</v>
      </c>
      <c r="F9">
        <v>-0.16200526575938295</v>
      </c>
      <c r="G9">
        <v>-0.9869545923362758</v>
      </c>
      <c r="H9">
        <v>-1.2467812001600111</v>
      </c>
      <c r="I9">
        <v>-1.5776919297666312</v>
      </c>
      <c r="J9">
        <v>-1.5263180900215885</v>
      </c>
      <c r="K9">
        <v>85.650078793270055</v>
      </c>
      <c r="L9">
        <v>93.116941392833397</v>
      </c>
      <c r="M9">
        <v>92.531378995393979</v>
      </c>
      <c r="N9">
        <v>103.78844361639629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D239-7663-412C-9EA4-D91433A56441}">
  <dimension ref="A1:AB9"/>
  <sheetViews>
    <sheetView workbookViewId="0">
      <selection activeCell="D10" sqref="D10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0.34895899690277521</v>
      </c>
      <c r="F2">
        <v>87.420225477667046</v>
      </c>
      <c r="G2">
        <v>103.40590486797319</v>
      </c>
      <c r="H2">
        <v>94.310556445646654</v>
      </c>
      <c r="I2">
        <v>101.40578521222486</v>
      </c>
      <c r="J2">
        <v>102.08550313948967</v>
      </c>
      <c r="K2">
        <v>104.64048214615651</v>
      </c>
      <c r="L2">
        <v>97.594078709839238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36.494912939041477</v>
      </c>
      <c r="T2">
        <f t="shared" si="2"/>
        <v>68.71572889905363</v>
      </c>
      <c r="U2">
        <f t="shared" si="2"/>
        <v>98.909313250746891</v>
      </c>
      <c r="V2">
        <f t="shared" si="2"/>
        <v>103.22211934019839</v>
      </c>
      <c r="W2">
        <f t="shared" si="2"/>
        <v>107.4005994899328</v>
      </c>
      <c r="X2">
        <f t="shared" si="2"/>
        <v>108.4941170412521</v>
      </c>
      <c r="Y2">
        <f t="shared" si="2"/>
        <v>105.99656416304987</v>
      </c>
      <c r="Z2">
        <f t="shared" si="2"/>
        <v>106.57763942353823</v>
      </c>
      <c r="AA2">
        <f t="shared" si="2"/>
        <v>107.29066383613473</v>
      </c>
      <c r="AB2">
        <f t="shared" si="2"/>
        <v>107.97421164237898</v>
      </c>
    </row>
    <row r="3" spans="1:28">
      <c r="A3" s="1"/>
      <c r="E3">
        <v>17.591407465599779</v>
      </c>
      <c r="F3">
        <v>98.314286182991125</v>
      </c>
      <c r="G3">
        <v>100.54820977854936</v>
      </c>
      <c r="H3">
        <v>93.116999758484724</v>
      </c>
      <c r="I3">
        <v>96.726155354203541</v>
      </c>
      <c r="J3">
        <v>102.35118080154442</v>
      </c>
      <c r="K3">
        <v>100.53879612397567</v>
      </c>
      <c r="L3">
        <v>99.584396985035312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50.52711084325302</v>
      </c>
      <c r="T3">
        <f t="shared" si="3"/>
        <v>55.226711508623723</v>
      </c>
      <c r="U3">
        <f t="shared" si="3"/>
        <v>23.867088019296094</v>
      </c>
      <c r="V3">
        <f t="shared" si="3"/>
        <v>14.610641855148172</v>
      </c>
      <c r="W3">
        <f t="shared" si="3"/>
        <v>15.759745295970067</v>
      </c>
      <c r="X3">
        <f t="shared" si="3"/>
        <v>13.901999176547063</v>
      </c>
      <c r="Y3">
        <f t="shared" si="3"/>
        <v>12.366201139834599</v>
      </c>
      <c r="Z3">
        <f t="shared" si="3"/>
        <v>16.284411960207784</v>
      </c>
      <c r="AA3">
        <f t="shared" si="3"/>
        <v>21.787568083464603</v>
      </c>
      <c r="AB3">
        <f t="shared" si="3"/>
        <v>19.717153882803604</v>
      </c>
    </row>
    <row r="5" spans="1:28">
      <c r="E5">
        <v>95.935289964680592</v>
      </c>
      <c r="F5">
        <v>115.49449809208885</v>
      </c>
      <c r="G5">
        <v>124.97039164178601</v>
      </c>
      <c r="H5">
        <v>116.47650205840117</v>
      </c>
      <c r="I5">
        <v>127.81517273698408</v>
      </c>
      <c r="J5">
        <v>125.15261432963212</v>
      </c>
      <c r="K5">
        <v>122.19646486808897</v>
      </c>
      <c r="L5">
        <v>125.76004742617295</v>
      </c>
      <c r="M5">
        <v>125.24373170781861</v>
      </c>
      <c r="N5">
        <v>121.81175643571132</v>
      </c>
    </row>
    <row r="6" spans="1:28">
      <c r="E6">
        <v>106.02873003647095</v>
      </c>
      <c r="F6">
        <v>113.71270077878339</v>
      </c>
      <c r="G6">
        <v>120.83986589495134</v>
      </c>
      <c r="H6">
        <v>125.64867905982791</v>
      </c>
      <c r="I6">
        <v>127.03564244667642</v>
      </c>
      <c r="J6">
        <v>127.08625784854586</v>
      </c>
      <c r="K6">
        <v>119.97934372053645</v>
      </c>
      <c r="L6">
        <v>128.95917254003783</v>
      </c>
      <c r="M6">
        <v>127.04576794075568</v>
      </c>
      <c r="N6">
        <v>127.9974074933571</v>
      </c>
    </row>
    <row r="8" spans="1:28">
      <c r="E8">
        <v>-0.98165446579049598</v>
      </c>
      <c r="F8">
        <v>-1.3380544694603032</v>
      </c>
      <c r="G8">
        <v>61.838689329815175</v>
      </c>
      <c r="H8">
        <v>89.044184881812043</v>
      </c>
      <c r="I8">
        <v>98.570143060595683</v>
      </c>
      <c r="J8">
        <v>95.310945640835968</v>
      </c>
      <c r="K8">
        <v>93.316547952027207</v>
      </c>
      <c r="L8">
        <v>93.622909876553166</v>
      </c>
      <c r="M8">
        <v>88.967834795145919</v>
      </c>
      <c r="N8">
        <v>90.488154704523112</v>
      </c>
    </row>
    <row r="9" spans="1:28">
      <c r="E9">
        <v>4.6745636385273077E-2</v>
      </c>
      <c r="F9">
        <v>-1.3092826677482683</v>
      </c>
      <c r="G9">
        <v>81.852817991406312</v>
      </c>
      <c r="H9">
        <v>100.73579383701777</v>
      </c>
      <c r="I9">
        <v>92.850698128912157</v>
      </c>
      <c r="J9">
        <v>98.978200487464576</v>
      </c>
      <c r="K9">
        <v>95.30775016751447</v>
      </c>
      <c r="L9">
        <v>93.945231003590862</v>
      </c>
      <c r="M9">
        <v>87.905320900818708</v>
      </c>
      <c r="N9">
        <v>91.599527935924371</v>
      </c>
    </row>
  </sheetData>
  <conditionalFormatting sqref="E2:N9">
    <cfRule type="colorScale" priority="1">
      <colorScale>
        <cfvo type="min"/>
        <cfvo type="max"/>
        <color theme="0"/>
        <color rgb="FF7030A0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6B93-2DB0-4C3E-AEC5-64EC16C41199}">
  <dimension ref="A1:AB9"/>
  <sheetViews>
    <sheetView workbookViewId="0">
      <selection activeCell="S21" sqref="S21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0.29467644294100953</v>
      </c>
      <c r="F2">
        <v>-0.28321462903955236</v>
      </c>
      <c r="G2">
        <v>-0.37325040508856516</v>
      </c>
      <c r="H2">
        <v>-0.44234279511809471</v>
      </c>
      <c r="I2">
        <v>0.37133872697158254</v>
      </c>
      <c r="J2">
        <v>102.64720766418942</v>
      </c>
      <c r="K2">
        <v>100.96756056078542</v>
      </c>
      <c r="L2">
        <v>106.84790464070728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-9.4629813527611717E-4</v>
      </c>
      <c r="T2">
        <f t="shared" si="2"/>
        <v>-1.0682560645202377</v>
      </c>
      <c r="U2">
        <f t="shared" si="2"/>
        <v>-1.0231373294834698</v>
      </c>
      <c r="V2">
        <f t="shared" si="2"/>
        <v>-1.0513114838013606</v>
      </c>
      <c r="W2">
        <f t="shared" si="2"/>
        <v>12.798429708607097</v>
      </c>
      <c r="X2">
        <f t="shared" si="2"/>
        <v>100.42227234629513</v>
      </c>
      <c r="Y2">
        <f t="shared" si="2"/>
        <v>100.97536465000155</v>
      </c>
      <c r="Z2">
        <f t="shared" si="2"/>
        <v>105.75551003423817</v>
      </c>
      <c r="AA2">
        <f t="shared" si="2"/>
        <v>105.13884329934459</v>
      </c>
      <c r="AB2">
        <f t="shared" si="2"/>
        <v>102.33228977982799</v>
      </c>
    </row>
    <row r="3" spans="1:28">
      <c r="A3" s="1"/>
      <c r="E3">
        <v>0.45364671763983028</v>
      </c>
      <c r="F3">
        <v>-7.3713283748439412E-2</v>
      </c>
      <c r="G3">
        <v>0.88258173908428805</v>
      </c>
      <c r="H3">
        <v>0.97620501210793609</v>
      </c>
      <c r="I3">
        <v>1.7164944888178122</v>
      </c>
      <c r="J3">
        <v>101.15566299260286</v>
      </c>
      <c r="K3">
        <v>96.080436638842343</v>
      </c>
      <c r="L3">
        <v>100.80832504675719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1.2426799440724348</v>
      </c>
      <c r="T3">
        <f t="shared" si="3"/>
        <v>0.69821075296733226</v>
      </c>
      <c r="U3">
        <f t="shared" si="3"/>
        <v>1.0677385407978066</v>
      </c>
      <c r="V3">
        <f t="shared" si="3"/>
        <v>1.1158829928168821</v>
      </c>
      <c r="W3">
        <f t="shared" si="3"/>
        <v>32.802938038013338</v>
      </c>
      <c r="X3">
        <f t="shared" si="3"/>
        <v>16.062373960453844</v>
      </c>
      <c r="Y3">
        <f t="shared" si="3"/>
        <v>11.414053593330566</v>
      </c>
      <c r="Z3">
        <f t="shared" si="3"/>
        <v>9.7988519819121347</v>
      </c>
      <c r="AA3">
        <f t="shared" si="3"/>
        <v>18.215500561102775</v>
      </c>
      <c r="AB3">
        <f t="shared" si="3"/>
        <v>11.194843874555509</v>
      </c>
    </row>
    <row r="5" spans="1:28">
      <c r="E5">
        <v>-1.4456808434038142</v>
      </c>
      <c r="F5">
        <v>-1.6076615944865651</v>
      </c>
      <c r="G5">
        <v>-1.7291475349400942</v>
      </c>
      <c r="H5">
        <v>-1.6481571593987185</v>
      </c>
      <c r="I5">
        <v>79.696688743034599</v>
      </c>
      <c r="J5">
        <v>114.56310952764596</v>
      </c>
      <c r="K5">
        <v>112.65983042244312</v>
      </c>
      <c r="L5">
        <v>115.71722275625203</v>
      </c>
      <c r="M5">
        <v>120.21219387877889</v>
      </c>
      <c r="N5">
        <v>113.38874531088135</v>
      </c>
    </row>
    <row r="6" spans="1:28">
      <c r="E6">
        <v>-1.4153092640050653</v>
      </c>
      <c r="F6">
        <v>-1.6177855799999701</v>
      </c>
      <c r="G6">
        <v>-1.7088999410547503</v>
      </c>
      <c r="H6">
        <v>-1.7595191143388429</v>
      </c>
      <c r="I6">
        <v>-1.7088999410547503</v>
      </c>
      <c r="J6">
        <v>114.56310952764596</v>
      </c>
      <c r="K6">
        <v>116.41576116245247</v>
      </c>
      <c r="L6">
        <v>118.83535598600965</v>
      </c>
      <c r="M6">
        <v>121.54854186375796</v>
      </c>
      <c r="N6">
        <v>110.54395214715636</v>
      </c>
    </row>
    <row r="8" spans="1:28">
      <c r="E8">
        <v>1.8004376724456834</v>
      </c>
      <c r="F8">
        <v>-1.3955983408431127</v>
      </c>
      <c r="G8">
        <v>-1.6158976802146472</v>
      </c>
      <c r="H8">
        <v>-1.7262478186661026</v>
      </c>
      <c r="I8">
        <v>-1.6425218830633175</v>
      </c>
      <c r="J8">
        <v>70.720089741420779</v>
      </c>
      <c r="K8">
        <v>88.191189250412677</v>
      </c>
      <c r="L8">
        <v>96.02907269881895</v>
      </c>
      <c r="M8">
        <v>88.105404312261967</v>
      </c>
      <c r="N8">
        <v>92.12082425425757</v>
      </c>
    </row>
    <row r="9" spans="1:28">
      <c r="E9">
        <v>0.30655148557069978</v>
      </c>
      <c r="F9">
        <v>-1.4315629590037866</v>
      </c>
      <c r="G9">
        <v>-1.5942101546870497</v>
      </c>
      <c r="H9">
        <v>-1.7078070273943413</v>
      </c>
      <c r="I9">
        <v>-1.6425218830633175</v>
      </c>
      <c r="J9">
        <v>98.884454624265743</v>
      </c>
      <c r="K9">
        <v>91.537409865073343</v>
      </c>
      <c r="L9">
        <v>96.295179076883954</v>
      </c>
      <c r="M9">
        <v>90.689233142579553</v>
      </c>
      <c r="N9">
        <v>93.275637407016688</v>
      </c>
    </row>
  </sheetData>
  <conditionalFormatting sqref="E2:N9">
    <cfRule type="colorScale" priority="1">
      <colorScale>
        <cfvo type="min"/>
        <cfvo type="max"/>
        <color theme="0"/>
        <color rgb="FF7030A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AA5F9-DC81-466F-B3A5-ABB33775D4EF}">
  <dimension ref="A1:AB9"/>
  <sheetViews>
    <sheetView workbookViewId="0">
      <selection activeCell="V23" sqref="V23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-0.42262805347247123</v>
      </c>
      <c r="F2">
        <v>-0.46943795072387018</v>
      </c>
      <c r="G2">
        <v>-0.40435455119753233</v>
      </c>
      <c r="H2">
        <v>-0.3546368097499783</v>
      </c>
      <c r="I2">
        <v>46.667426696860403</v>
      </c>
      <c r="J2">
        <v>96.100349416280622</v>
      </c>
      <c r="K2">
        <v>97.886546670166226</v>
      </c>
      <c r="L2">
        <v>102.37922226450453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-0.73201141441897966</v>
      </c>
      <c r="T2">
        <f t="shared" si="2"/>
        <v>-1.1258749006829645</v>
      </c>
      <c r="U2">
        <f t="shared" si="2"/>
        <v>-1.0727185671949397</v>
      </c>
      <c r="V2">
        <f t="shared" si="2"/>
        <v>-1.2928264207080349</v>
      </c>
      <c r="W2">
        <f t="shared" si="2"/>
        <v>7.7061809370167325</v>
      </c>
      <c r="X2">
        <f t="shared" si="2"/>
        <v>99.469310871039852</v>
      </c>
      <c r="Y2">
        <f t="shared" si="2"/>
        <v>101.99673086423287</v>
      </c>
      <c r="Z2">
        <f t="shared" si="2"/>
        <v>105.73436190999981</v>
      </c>
      <c r="AA2">
        <f t="shared" si="2"/>
        <v>108.01062156871856</v>
      </c>
      <c r="AB2">
        <f t="shared" si="2"/>
        <v>109.82075809517559</v>
      </c>
    </row>
    <row r="3" spans="1:28">
      <c r="A3" s="1"/>
      <c r="E3">
        <v>-0.32569510710836863</v>
      </c>
      <c r="F3">
        <v>-0.48495653677617317</v>
      </c>
      <c r="G3">
        <v>3.8880182636208925E-3</v>
      </c>
      <c r="H3">
        <v>-0.45378289154419171</v>
      </c>
      <c r="I3">
        <v>6.3392824373496968</v>
      </c>
      <c r="J3">
        <v>82.790288544519868</v>
      </c>
      <c r="K3">
        <v>94.58166990602831</v>
      </c>
      <c r="L3">
        <v>101.76916270959696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0.90571515191073115</v>
      </c>
      <c r="T3">
        <f t="shared" si="3"/>
        <v>0.55697432628063481</v>
      </c>
      <c r="U3">
        <f t="shared" si="3"/>
        <v>0.72467895987524378</v>
      </c>
      <c r="V3">
        <f t="shared" si="3"/>
        <v>0.68916566122204115</v>
      </c>
      <c r="W3">
        <f t="shared" si="3"/>
        <v>19.355663132644143</v>
      </c>
      <c r="X3">
        <f t="shared" si="3"/>
        <v>11.199064286083271</v>
      </c>
      <c r="Y3">
        <f t="shared" si="3"/>
        <v>8.4940883696207123</v>
      </c>
      <c r="Z3">
        <f t="shared" si="3"/>
        <v>7.379955949179994</v>
      </c>
      <c r="AA3">
        <f t="shared" si="3"/>
        <v>14.348047951580039</v>
      </c>
      <c r="AB3">
        <f t="shared" si="3"/>
        <v>11.479236191595879</v>
      </c>
    </row>
    <row r="5" spans="1:28">
      <c r="E5">
        <v>-1.4760520456610968</v>
      </c>
      <c r="F5">
        <v>-1.6279095655133751</v>
      </c>
      <c r="G5">
        <v>-1.7088999410547503</v>
      </c>
      <c r="H5">
        <v>-1.7291475349400942</v>
      </c>
      <c r="I5">
        <v>-1.789890316596126</v>
      </c>
      <c r="J5">
        <v>109.94664454469478</v>
      </c>
      <c r="K5">
        <v>112.99391138442442</v>
      </c>
      <c r="L5">
        <v>113.6823363650725</v>
      </c>
      <c r="M5">
        <v>121.09296704135232</v>
      </c>
      <c r="N5">
        <v>119.36179719844324</v>
      </c>
    </row>
    <row r="6" spans="1:28">
      <c r="E6">
        <v>-1.4456808434038142</v>
      </c>
      <c r="F6">
        <v>-1.5975379861146259</v>
      </c>
      <c r="G6">
        <v>-1.7493951288254379</v>
      </c>
      <c r="H6">
        <v>-1.7595191143388429</v>
      </c>
      <c r="I6">
        <v>-1.7595191143388429</v>
      </c>
      <c r="J6">
        <v>114.05691930337089</v>
      </c>
      <c r="K6">
        <v>112.70032033023327</v>
      </c>
      <c r="L6">
        <v>116.4967530465597</v>
      </c>
      <c r="M6">
        <v>119.75661905637325</v>
      </c>
      <c r="N6">
        <v>120.13120199467164</v>
      </c>
    </row>
    <row r="8" spans="1:28">
      <c r="E8">
        <v>-1.4796166176982548</v>
      </c>
      <c r="F8">
        <v>-0.98559922859102622</v>
      </c>
      <c r="G8">
        <v>-1.4676983323299049</v>
      </c>
      <c r="H8">
        <v>-1.7188715571159461</v>
      </c>
      <c r="I8">
        <v>-1.6173103538233993</v>
      </c>
      <c r="J8">
        <v>98.055761219406719</v>
      </c>
      <c r="K8">
        <v>97.802132306360235</v>
      </c>
      <c r="L8">
        <v>100.8976220280646</v>
      </c>
      <c r="M8">
        <v>95.235955331092342</v>
      </c>
      <c r="N8">
        <v>100.58102728907767</v>
      </c>
    </row>
    <row r="9" spans="1:28">
      <c r="E9">
        <v>0.75760418083012782</v>
      </c>
      <c r="F9">
        <v>-1.5898081363787182</v>
      </c>
      <c r="G9">
        <v>-1.1098514680256328</v>
      </c>
      <c r="H9">
        <v>-1.7410006165591561</v>
      </c>
      <c r="I9">
        <v>-1.602903727351334</v>
      </c>
      <c r="J9">
        <v>95.86590219796615</v>
      </c>
      <c r="K9">
        <v>96.015804588184821</v>
      </c>
      <c r="L9">
        <v>99.181075046200647</v>
      </c>
      <c r="M9">
        <v>95.956944846056302</v>
      </c>
      <c r="N9">
        <v>99.209005898509801</v>
      </c>
    </row>
  </sheetData>
  <conditionalFormatting sqref="E2:N9">
    <cfRule type="colorScale" priority="1">
      <colorScale>
        <cfvo type="min"/>
        <cfvo type="max"/>
        <color theme="0"/>
        <color rgb="FF7030A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F04E-7C00-4C8B-8148-BC15B2579629}">
  <dimension ref="A1:AB9"/>
  <sheetViews>
    <sheetView workbookViewId="0">
      <selection activeCell="G5" sqref="G5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-0.34508146527481531</v>
      </c>
      <c r="F2">
        <v>-0.28321462903955236</v>
      </c>
      <c r="G2">
        <v>-0.4471226796772555</v>
      </c>
      <c r="H2">
        <v>-0.30506391090940105</v>
      </c>
      <c r="I2">
        <v>91.057564014633869</v>
      </c>
      <c r="J2">
        <v>95.348885474294349</v>
      </c>
      <c r="K2">
        <v>101.5898280633256</v>
      </c>
      <c r="L2">
        <v>101.91405742186612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-1.077220887476342</v>
      </c>
      <c r="T2">
        <f t="shared" si="2"/>
        <v>-1.2548546615703262</v>
      </c>
      <c r="U2">
        <f t="shared" si="2"/>
        <v>-1.3074118678005933</v>
      </c>
      <c r="V2">
        <f t="shared" si="2"/>
        <v>15.350608336099073</v>
      </c>
      <c r="W2">
        <f t="shared" si="2"/>
        <v>68.311249016974998</v>
      </c>
      <c r="X2">
        <f t="shared" si="2"/>
        <v>98.175822479084957</v>
      </c>
      <c r="Y2">
        <f t="shared" si="2"/>
        <v>103.46078079998836</v>
      </c>
      <c r="Z2">
        <f t="shared" si="2"/>
        <v>105.53155091827826</v>
      </c>
      <c r="AA2">
        <f t="shared" si="2"/>
        <v>104.58897220408203</v>
      </c>
      <c r="AB2">
        <f t="shared" si="2"/>
        <v>110.68055690879184</v>
      </c>
    </row>
    <row r="3" spans="1:28">
      <c r="A3" s="1"/>
      <c r="E3">
        <v>-0.5350702596995115</v>
      </c>
      <c r="F3">
        <v>-0.50823456038296844</v>
      </c>
      <c r="G3">
        <v>-0.48600300715367767</v>
      </c>
      <c r="H3">
        <v>-0.30887727638476664</v>
      </c>
      <c r="I3">
        <v>82.065856119882824</v>
      </c>
      <c r="J3">
        <v>98.187748249724876</v>
      </c>
      <c r="K3">
        <v>100.97135101354564</v>
      </c>
      <c r="L3">
        <v>101.63571303420254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0.53751001005254373</v>
      </c>
      <c r="T3">
        <f t="shared" si="3"/>
        <v>0.66977832583429442</v>
      </c>
      <c r="U3">
        <f t="shared" si="3"/>
        <v>0.65478711127564149</v>
      </c>
      <c r="V3">
        <f t="shared" si="3"/>
        <v>40.123229124078492</v>
      </c>
      <c r="W3">
        <f t="shared" si="3"/>
        <v>45.721858689039117</v>
      </c>
      <c r="X3">
        <f t="shared" si="3"/>
        <v>11.840052682154703</v>
      </c>
      <c r="Y3">
        <f t="shared" si="3"/>
        <v>9.8751606437342083</v>
      </c>
      <c r="Z3">
        <f t="shared" si="3"/>
        <v>7.963958805780635</v>
      </c>
      <c r="AA3">
        <f t="shared" si="3"/>
        <v>16.024754563646187</v>
      </c>
      <c r="AB3">
        <f t="shared" si="3"/>
        <v>17.242929291284767</v>
      </c>
    </row>
    <row r="5" spans="1:28">
      <c r="E5">
        <v>-1.4861760311745018</v>
      </c>
      <c r="F5">
        <v>-1.6987759555413453</v>
      </c>
      <c r="G5">
        <v>-1.7797667082241868</v>
      </c>
      <c r="H5">
        <v>-1.0306042259005999</v>
      </c>
      <c r="I5">
        <v>110.19974569109576</v>
      </c>
      <c r="J5">
        <v>110.87803310913766</v>
      </c>
      <c r="K5">
        <v>113.93542544294657</v>
      </c>
      <c r="L5">
        <v>115.41350620798161</v>
      </c>
      <c r="M5">
        <v>119.4022871062334</v>
      </c>
      <c r="N5">
        <v>124.1908492829514</v>
      </c>
    </row>
    <row r="6" spans="1:28">
      <c r="E6">
        <v>-1.5671664067158773</v>
      </c>
      <c r="F6">
        <v>-1.7190235494266892</v>
      </c>
      <c r="G6">
        <v>-1.8202618959948746</v>
      </c>
      <c r="H6">
        <v>97.241261467421864</v>
      </c>
      <c r="I6">
        <v>104.94548319789286</v>
      </c>
      <c r="J6">
        <v>111.72844185800021</v>
      </c>
      <c r="K6">
        <v>116.79034410075084</v>
      </c>
      <c r="L6">
        <v>115.95007291449448</v>
      </c>
      <c r="M6">
        <v>117.48888250695128</v>
      </c>
      <c r="N6">
        <v>126.9445250684899</v>
      </c>
    </row>
    <row r="8" spans="1:28">
      <c r="E8">
        <v>-1.5265260743465856</v>
      </c>
      <c r="F8">
        <v>-1.6797203516772521</v>
      </c>
      <c r="G8">
        <v>-1.6665023552955269</v>
      </c>
      <c r="H8">
        <v>-1.7336243550089996</v>
      </c>
      <c r="I8">
        <v>14.917924093640119</v>
      </c>
      <c r="J8">
        <v>92.506133067421885</v>
      </c>
      <c r="K8">
        <v>94.596088077303861</v>
      </c>
      <c r="L8">
        <v>99.810732061994798</v>
      </c>
      <c r="M8">
        <v>90.220077144900145</v>
      </c>
      <c r="N8">
        <v>96.703887000351969</v>
      </c>
    </row>
    <row r="9" spans="1:28">
      <c r="E9">
        <v>-1.0033050876467613</v>
      </c>
      <c r="F9">
        <v>-1.6401589233541494</v>
      </c>
      <c r="G9">
        <v>-1.6448145604580384</v>
      </c>
      <c r="H9">
        <v>-1.7594416826236581</v>
      </c>
      <c r="I9">
        <v>6.6809209847045974</v>
      </c>
      <c r="J9">
        <v>80.40569311593076</v>
      </c>
      <c r="K9">
        <v>92.881648102057568</v>
      </c>
      <c r="L9">
        <v>98.465223869129943</v>
      </c>
      <c r="M9">
        <v>91.244642058243315</v>
      </c>
      <c r="N9">
        <v>94.882966283374131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D73B-CB36-4D06-B297-24D27597FCF2}">
  <dimension ref="A1:AB9"/>
  <sheetViews>
    <sheetView workbookViewId="0">
      <selection activeCell="I8" sqref="I8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4.7070682404624575</v>
      </c>
      <c r="F2">
        <v>0.63238339332973337</v>
      </c>
      <c r="G2">
        <v>-0.31104182319020446</v>
      </c>
      <c r="H2">
        <v>-0.3660769061760753</v>
      </c>
      <c r="I2">
        <v>6.8962903513600624</v>
      </c>
      <c r="J2">
        <v>98.692527663836216</v>
      </c>
      <c r="K2">
        <v>99.408083258821463</v>
      </c>
      <c r="L2">
        <v>96.930639284773889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3.3515412297765543</v>
      </c>
      <c r="T2">
        <f t="shared" si="2"/>
        <v>0.20088845846484804</v>
      </c>
      <c r="U2">
        <f t="shared" si="2"/>
        <v>-1.0344460004945468</v>
      </c>
      <c r="V2">
        <f t="shared" si="2"/>
        <v>-1.2881439520002613</v>
      </c>
      <c r="W2">
        <f t="shared" si="2"/>
        <v>0.82404062608455098</v>
      </c>
      <c r="X2">
        <f t="shared" si="2"/>
        <v>75.709097613482527</v>
      </c>
      <c r="Y2">
        <f t="shared" si="2"/>
        <v>101.25176671390254</v>
      </c>
      <c r="Z2">
        <f t="shared" si="2"/>
        <v>101.9228026826874</v>
      </c>
      <c r="AA2">
        <f t="shared" si="2"/>
        <v>103.03321987571027</v>
      </c>
      <c r="AB2">
        <f t="shared" si="2"/>
        <v>113.99147047145638</v>
      </c>
    </row>
    <row r="3" spans="1:28">
      <c r="A3" s="1"/>
      <c r="E3">
        <v>5.4902871635141661</v>
      </c>
      <c r="F3">
        <v>0.64014283088422552</v>
      </c>
      <c r="G3">
        <v>-0.34214625897959805</v>
      </c>
      <c r="H3">
        <v>-0.50716887174707581</v>
      </c>
      <c r="I3">
        <v>4.4712213098868148</v>
      </c>
      <c r="J3">
        <v>88.384540220769892</v>
      </c>
      <c r="K3">
        <v>97.958637644023455</v>
      </c>
      <c r="L3">
        <v>101.71960088192323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1.7427804695214957</v>
      </c>
      <c r="T3">
        <f t="shared" si="3"/>
        <v>0.75091572989771371</v>
      </c>
      <c r="U3">
        <f t="shared" si="3"/>
        <v>0.56663200375800749</v>
      </c>
      <c r="V3">
        <f t="shared" si="3"/>
        <v>0.66261873243010017</v>
      </c>
      <c r="W3">
        <f t="shared" si="3"/>
        <v>3.8472063071953322</v>
      </c>
      <c r="X3">
        <f t="shared" si="3"/>
        <v>43.099174235569599</v>
      </c>
      <c r="Y3">
        <f t="shared" si="3"/>
        <v>10.763682312080849</v>
      </c>
      <c r="Z3">
        <f t="shared" si="3"/>
        <v>12.327928901850221</v>
      </c>
      <c r="AA3">
        <f t="shared" si="3"/>
        <v>16.280452401935758</v>
      </c>
      <c r="AB3">
        <f t="shared" si="3"/>
        <v>18.560070169116276</v>
      </c>
    </row>
    <row r="5" spans="1:28">
      <c r="E5">
        <v>1.3383684072407582</v>
      </c>
      <c r="F5">
        <v>-0.72688994047897593</v>
      </c>
      <c r="G5">
        <v>-1.4659284372891581</v>
      </c>
      <c r="H5">
        <v>-1.6279095655133751</v>
      </c>
      <c r="I5">
        <v>-1.2128329480101607</v>
      </c>
      <c r="J5">
        <v>108.94438959022392</v>
      </c>
      <c r="K5">
        <v>111.87017463805617</v>
      </c>
      <c r="L5">
        <v>108.21547470178568</v>
      </c>
      <c r="M5">
        <v>112.03214633774374</v>
      </c>
      <c r="N5">
        <v>128.70607139363682</v>
      </c>
    </row>
    <row r="6" spans="1:28">
      <c r="E6">
        <v>1.2776252484432604</v>
      </c>
      <c r="F6">
        <v>-0.70664196945216617</v>
      </c>
      <c r="G6">
        <v>-1.4051856556331264</v>
      </c>
      <c r="H6">
        <v>-1.7493951288254379</v>
      </c>
      <c r="I6">
        <v>-1.8101379104814697</v>
      </c>
      <c r="J6">
        <v>113.71270077878339</v>
      </c>
      <c r="K6">
        <v>116.5574939425084</v>
      </c>
      <c r="L6">
        <v>122.87475228613087</v>
      </c>
      <c r="M6">
        <v>121.43717349741291</v>
      </c>
      <c r="N6">
        <v>131.3686418695157</v>
      </c>
    </row>
    <row r="8" spans="1:28">
      <c r="E8">
        <v>3.2979323411047603</v>
      </c>
      <c r="F8">
        <v>0.30194117567182377</v>
      </c>
      <c r="G8">
        <v>-1.5544492423699687</v>
      </c>
      <c r="H8">
        <v>-1.7483771529020531</v>
      </c>
      <c r="I8">
        <v>-1.703750112655791</v>
      </c>
      <c r="J8">
        <v>35.228720377235021</v>
      </c>
      <c r="K8">
        <v>91.850111692135698</v>
      </c>
      <c r="L8">
        <v>93.472994943551257</v>
      </c>
      <c r="M8">
        <v>89.416297330286113</v>
      </c>
      <c r="N8">
        <v>97.913006528073041</v>
      </c>
    </row>
    <row r="9" spans="1:28">
      <c r="E9">
        <v>3.9979659778939212</v>
      </c>
      <c r="F9">
        <v>1.0643952608344476</v>
      </c>
      <c r="G9">
        <v>-1.1279245855052249</v>
      </c>
      <c r="H9">
        <v>-1.7299360868375511</v>
      </c>
      <c r="I9">
        <v>-1.696546933592151</v>
      </c>
      <c r="J9">
        <v>9.2917070500467265</v>
      </c>
      <c r="K9">
        <v>89.866099107869985</v>
      </c>
      <c r="L9">
        <v>88.323353997959387</v>
      </c>
      <c r="M9">
        <v>89.247262337398297</v>
      </c>
      <c r="N9">
        <v>97.978162094600023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24E5-0B20-42BF-990A-D66A31A9C63D}">
  <dimension ref="A1:AB12"/>
  <sheetViews>
    <sheetView workbookViewId="0">
      <selection activeCell="I11" sqref="I11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-0.27634300988285726</v>
      </c>
      <c r="F2">
        <v>-0.46057251502423807</v>
      </c>
      <c r="G2">
        <v>-0.32658810101007785</v>
      </c>
      <c r="H2">
        <v>-0.5108163583222447</v>
      </c>
      <c r="I2">
        <v>-0.57780856532932479</v>
      </c>
      <c r="J2">
        <v>-0.25959464617378375</v>
      </c>
      <c r="K2">
        <v>44.608511802442877</v>
      </c>
      <c r="L2">
        <v>111.03139922633591</v>
      </c>
      <c r="M2">
        <v>68.675503660057785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0.91685848864417441</v>
      </c>
      <c r="T2">
        <f t="shared" si="2"/>
        <v>-9.8555289159234422E-2</v>
      </c>
      <c r="U2">
        <f t="shared" si="2"/>
        <v>-0.15168429342419132</v>
      </c>
      <c r="V2">
        <f t="shared" si="2"/>
        <v>-0.23061370665929742</v>
      </c>
      <c r="W2">
        <f t="shared" si="2"/>
        <v>-0.22325330118833062</v>
      </c>
      <c r="X2">
        <f t="shared" si="2"/>
        <v>26.141795504385158</v>
      </c>
      <c r="Y2">
        <f t="shared" si="2"/>
        <v>81.512703059948691</v>
      </c>
      <c r="Z2">
        <f t="shared" si="2"/>
        <v>101.680900170079</v>
      </c>
      <c r="AA2">
        <f t="shared" si="2"/>
        <v>90.419913710273761</v>
      </c>
      <c r="AB2">
        <f t="shared" si="2"/>
        <v>99.244671182807323</v>
      </c>
    </row>
    <row r="3" spans="1:28">
      <c r="A3" s="1"/>
      <c r="E3">
        <v>0.27634300988285726</v>
      </c>
      <c r="F3">
        <v>-5.8618025152543378E-2</v>
      </c>
      <c r="G3">
        <v>0.19260243916670364</v>
      </c>
      <c r="H3">
        <v>0.15910695957777052</v>
      </c>
      <c r="I3">
        <v>0.17585532328684403</v>
      </c>
      <c r="J3">
        <v>0.17585532328684403</v>
      </c>
      <c r="K3">
        <v>71.053731376211374</v>
      </c>
      <c r="L3">
        <v>111.76831724690143</v>
      </c>
      <c r="M3">
        <v>88.254003922076961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1.6910002891017062</v>
      </c>
      <c r="T3">
        <f t="shared" si="3"/>
        <v>0.24910670476147523</v>
      </c>
      <c r="U3">
        <f t="shared" si="3"/>
        <v>0.22243976311538638</v>
      </c>
      <c r="V3">
        <f t="shared" si="3"/>
        <v>0.24168249780288567</v>
      </c>
      <c r="W3">
        <f t="shared" si="3"/>
        <v>0.26434718804168245</v>
      </c>
      <c r="X3">
        <f t="shared" si="3"/>
        <v>34.606561964190981</v>
      </c>
      <c r="Y3">
        <f t="shared" si="3"/>
        <v>18.500115307497119</v>
      </c>
      <c r="Z3">
        <f t="shared" si="3"/>
        <v>6.3436522675684826</v>
      </c>
      <c r="AA3">
        <f t="shared" si="3"/>
        <v>15.957338377636253</v>
      </c>
      <c r="AB3">
        <f t="shared" si="3"/>
        <v>0.83846127029685813</v>
      </c>
    </row>
    <row r="5" spans="1:28">
      <c r="E5">
        <v>0.15157058591173983</v>
      </c>
      <c r="F5">
        <v>-0.14568604799814644</v>
      </c>
      <c r="G5">
        <v>-0.31379623307412779</v>
      </c>
      <c r="H5">
        <v>-0.26393827315200874</v>
      </c>
      <c r="I5">
        <v>-0.27440914723382936</v>
      </c>
      <c r="J5">
        <v>59.169198148342836</v>
      </c>
      <c r="K5">
        <v>97.228649788962997</v>
      </c>
      <c r="L5">
        <v>94.091535564963735</v>
      </c>
    </row>
    <row r="6" spans="1:28">
      <c r="E6">
        <v>0.1724769165930794</v>
      </c>
      <c r="F6">
        <v>-0.18885237973495486</v>
      </c>
      <c r="G6">
        <v>-0.24773388345490452</v>
      </c>
      <c r="H6">
        <v>-0.39845492988123987</v>
      </c>
      <c r="I6">
        <v>-0.33599298367848918</v>
      </c>
      <c r="J6">
        <v>78.220075600708725</v>
      </c>
      <c r="K6">
        <v>98.619511834191414</v>
      </c>
      <c r="L6">
        <v>98.431169139294397</v>
      </c>
    </row>
    <row r="8" spans="1:28">
      <c r="E8">
        <v>-7.6064129909510295E-2</v>
      </c>
      <c r="F8">
        <v>-0.19938324547804306</v>
      </c>
      <c r="G8">
        <v>-0.33535019758953555</v>
      </c>
      <c r="H8">
        <v>-0.38278040918749223</v>
      </c>
      <c r="I8">
        <v>-0.40807678904071831</v>
      </c>
      <c r="J8">
        <v>1.0211579533624049</v>
      </c>
      <c r="K8">
        <v>81.921525557461919</v>
      </c>
      <c r="L8">
        <v>101.28575862324678</v>
      </c>
      <c r="M8">
        <v>102.89838675993371</v>
      </c>
      <c r="N8">
        <v>98.651789532818128</v>
      </c>
    </row>
    <row r="9" spans="1:28">
      <c r="E9">
        <v>-3.1795995241844649E-2</v>
      </c>
      <c r="F9">
        <v>-0.25313761093658182</v>
      </c>
      <c r="G9">
        <v>-0.32270212545747362</v>
      </c>
      <c r="H9">
        <v>-0.41123863038190717</v>
      </c>
      <c r="I9">
        <v>-0.40175263518013626</v>
      </c>
      <c r="J9">
        <v>-0.22151731281187589</v>
      </c>
      <c r="K9">
        <v>71.69554121612353</v>
      </c>
      <c r="L9">
        <v>98.904755687241405</v>
      </c>
      <c r="M9">
        <v>101.85176049902658</v>
      </c>
      <c r="N9">
        <v>99.837552832796518</v>
      </c>
    </row>
    <row r="11" spans="1:28">
      <c r="E11">
        <v>2.787539155442706</v>
      </c>
      <c r="F11">
        <v>0.22943500605867798</v>
      </c>
      <c r="G11">
        <v>5.5625546934952606E-2</v>
      </c>
      <c r="H11">
        <v>-5.9269490175412498E-2</v>
      </c>
      <c r="I11">
        <v>-3.8167070576165765E-2</v>
      </c>
      <c r="J11">
        <v>6.2972240754395203</v>
      </c>
      <c r="K11">
        <v>94.359291128586847</v>
      </c>
      <c r="L11">
        <v>98.030579240983855</v>
      </c>
    </row>
    <row r="12" spans="1:28">
      <c r="E12">
        <v>4.3311413763572251</v>
      </c>
      <c r="F12">
        <v>0.2883725049919541</v>
      </c>
      <c r="G12">
        <v>8.4468207090932321E-2</v>
      </c>
      <c r="H12">
        <v>2.2481478248155273E-2</v>
      </c>
      <c r="I12">
        <v>7.4325458245174947E-2</v>
      </c>
      <c r="J12">
        <v>64.731964892926598</v>
      </c>
      <c r="K12">
        <v>92.614861775608617</v>
      </c>
      <c r="L12">
        <v>99.903686631664499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C8F57-C0EB-4B0E-A622-004B1D6972E3}">
  <dimension ref="A1:AB9"/>
  <sheetViews>
    <sheetView workbookViewId="0">
      <selection activeCell="K17" sqref="K17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156.18421912320233</v>
      </c>
      <c r="F2">
        <v>185.27563024983587</v>
      </c>
      <c r="G2">
        <v>123.1235131802959</v>
      </c>
      <c r="H2">
        <v>96.745282070046841</v>
      </c>
      <c r="I2">
        <v>90.314020214733432</v>
      </c>
      <c r="J2">
        <v>79.310532432254234</v>
      </c>
      <c r="K2">
        <v>105.83949132890966</v>
      </c>
      <c r="L2">
        <v>119.33844786916441</v>
      </c>
      <c r="M2">
        <v>86.91416477325221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116.0387172411431</v>
      </c>
      <c r="T2">
        <f t="shared" si="2"/>
        <v>121.35036980092394</v>
      </c>
      <c r="U2">
        <f t="shared" si="2"/>
        <v>106.09114271080159</v>
      </c>
      <c r="V2">
        <f t="shared" si="2"/>
        <v>98.590582633208328</v>
      </c>
      <c r="W2">
        <f t="shared" si="2"/>
        <v>94.792994008427101</v>
      </c>
      <c r="X2">
        <f t="shared" si="2"/>
        <v>96.416174018585295</v>
      </c>
      <c r="Y2">
        <f t="shared" si="2"/>
        <v>110.40547241326465</v>
      </c>
      <c r="Z2">
        <f t="shared" si="2"/>
        <v>108.66541863247441</v>
      </c>
      <c r="AA2">
        <f t="shared" si="2"/>
        <v>88.530353171105887</v>
      </c>
      <c r="AB2" t="e">
        <f t="shared" si="2"/>
        <v>#DIV/0!</v>
      </c>
    </row>
    <row r="3" spans="1:28">
      <c r="A3" s="1"/>
      <c r="E3">
        <v>177.01883418510988</v>
      </c>
      <c r="F3">
        <v>134.1604926988764</v>
      </c>
      <c r="G3">
        <v>118.03209047380724</v>
      </c>
      <c r="H3">
        <v>99.542216383268851</v>
      </c>
      <c r="I3">
        <v>100.17863923026307</v>
      </c>
      <c r="J3">
        <v>72.460568971189275</v>
      </c>
      <c r="K3">
        <v>113.17514985056246</v>
      </c>
      <c r="L3">
        <v>117.64689058679069</v>
      </c>
      <c r="M3">
        <v>90.146541568959563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40.016026553837506</v>
      </c>
      <c r="T3">
        <f t="shared" si="3"/>
        <v>33.985188025364188</v>
      </c>
      <c r="U3">
        <f t="shared" si="3"/>
        <v>13.249350893850018</v>
      </c>
      <c r="V3">
        <f t="shared" si="3"/>
        <v>5.6458868338709527</v>
      </c>
      <c r="W3">
        <f t="shared" si="3"/>
        <v>7.642893222450768</v>
      </c>
      <c r="X3">
        <f t="shared" si="3"/>
        <v>16.286286979583426</v>
      </c>
      <c r="Y3">
        <f t="shared" si="3"/>
        <v>6.95208402742891</v>
      </c>
      <c r="Z3">
        <f t="shared" si="3"/>
        <v>8.9163810006093609</v>
      </c>
      <c r="AA3">
        <f t="shared" si="3"/>
        <v>2.2856355515947127</v>
      </c>
      <c r="AB3" t="e">
        <f t="shared" si="3"/>
        <v>#DIV/0!</v>
      </c>
    </row>
    <row r="5" spans="1:28">
      <c r="E5">
        <v>85.804632308639668</v>
      </c>
      <c r="F5">
        <v>99.227329801732651</v>
      </c>
      <c r="G5">
        <v>90.603598524931698</v>
      </c>
      <c r="H5">
        <v>96.021559282855364</v>
      </c>
      <c r="I5">
        <v>86.413572117132702</v>
      </c>
      <c r="J5">
        <v>111.48052207712433</v>
      </c>
      <c r="K5">
        <v>118.38638473922219</v>
      </c>
      <c r="L5">
        <v>111.73887881017133</v>
      </c>
    </row>
    <row r="6" spans="1:28">
      <c r="E6">
        <v>84.826215160474646</v>
      </c>
      <c r="F6">
        <v>98.65321096439331</v>
      </c>
      <c r="G6">
        <v>93.172255087387043</v>
      </c>
      <c r="H6">
        <v>97.476789957872583</v>
      </c>
      <c r="I6">
        <v>87.6814643123829</v>
      </c>
      <c r="J6">
        <v>105.49436041021508</v>
      </c>
      <c r="K6">
        <v>117.8840137903336</v>
      </c>
      <c r="L6">
        <v>97.35797034818961</v>
      </c>
    </row>
    <row r="8" spans="1:28">
      <c r="E8">
        <v>95.632208706665949</v>
      </c>
      <c r="F8">
        <v>103.09632003123711</v>
      </c>
      <c r="G8">
        <v>101.44213791969615</v>
      </c>
      <c r="H8">
        <v>92.60969661808592</v>
      </c>
      <c r="I8">
        <v>99.268795718985317</v>
      </c>
      <c r="J8">
        <v>102.96866500306413</v>
      </c>
      <c r="K8">
        <v>103.27920445723701</v>
      </c>
      <c r="L8">
        <v>102.50225179816604</v>
      </c>
    </row>
    <row r="9" spans="1:28">
      <c r="E9">
        <v>96.76619396276628</v>
      </c>
      <c r="F9">
        <v>107.6892350594683</v>
      </c>
      <c r="G9">
        <v>110.17326107869158</v>
      </c>
      <c r="H9">
        <v>109.14795148712034</v>
      </c>
      <c r="I9">
        <v>104.90147245706525</v>
      </c>
      <c r="J9">
        <v>106.78239521766467</v>
      </c>
      <c r="K9">
        <v>103.86859031332304</v>
      </c>
      <c r="L9">
        <v>103.4080723823644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F78A-A5D1-4A40-AA6D-A93E6BED1579}">
  <dimension ref="A1:AB3"/>
  <sheetViews>
    <sheetView workbookViewId="0">
      <selection activeCell="E2" sqref="E2:L3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109.37803031198757</v>
      </c>
      <c r="F2">
        <v>114.14287692132173</v>
      </c>
      <c r="G2">
        <v>111.45882245244219</v>
      </c>
      <c r="H2">
        <v>114.49855762387182</v>
      </c>
      <c r="I2">
        <v>107.95885876165026</v>
      </c>
      <c r="J2">
        <v>101.70007638237786</v>
      </c>
      <c r="K2">
        <v>101.21437818148402</v>
      </c>
      <c r="L2">
        <v>99.842200865271749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106.92680876927975</v>
      </c>
      <c r="T2">
        <f t="shared" si="2"/>
        <v>114.79329372655828</v>
      </c>
      <c r="U2">
        <f t="shared" si="2"/>
        <v>109.74267926126424</v>
      </c>
      <c r="V2">
        <f t="shared" si="2"/>
        <v>114.87870000772466</v>
      </c>
      <c r="W2">
        <f t="shared" si="2"/>
        <v>109.09985890113856</v>
      </c>
      <c r="X2">
        <f t="shared" si="2"/>
        <v>101.71598138403111</v>
      </c>
      <c r="Y2">
        <f t="shared" si="2"/>
        <v>101.97781181697746</v>
      </c>
      <c r="Z2">
        <f t="shared" si="2"/>
        <v>99.788918738562202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104.4755872265719</v>
      </c>
      <c r="F3">
        <v>115.44371053179482</v>
      </c>
      <c r="G3">
        <v>108.02653607008628</v>
      </c>
      <c r="H3">
        <v>115.25884239157752</v>
      </c>
      <c r="I3">
        <v>110.24085904062686</v>
      </c>
      <c r="J3">
        <v>101.73188638568436</v>
      </c>
      <c r="K3">
        <v>102.74124545247091</v>
      </c>
      <c r="L3">
        <v>99.735636611852655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3.4665507500785204</v>
      </c>
      <c r="T3">
        <f t="shared" si="3"/>
        <v>0.91982826716090293</v>
      </c>
      <c r="U3">
        <f t="shared" si="3"/>
        <v>2.4269929759381084</v>
      </c>
      <c r="V3">
        <f t="shared" si="3"/>
        <v>0.53760251487753852</v>
      </c>
      <c r="W3">
        <f t="shared" si="3"/>
        <v>1.6136178719339447</v>
      </c>
      <c r="X3">
        <f t="shared" si="3"/>
        <v>2.2493069047595217E-2</v>
      </c>
      <c r="Y3">
        <f t="shared" si="3"/>
        <v>1.0796582012866234</v>
      </c>
      <c r="Z3">
        <f t="shared" si="3"/>
        <v>7.5352306224723289E-2</v>
      </c>
      <c r="AA3" t="e">
        <f t="shared" si="3"/>
        <v>#DIV/0!</v>
      </c>
      <c r="AB3" t="e">
        <f t="shared" si="3"/>
        <v>#DIV/0!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3C1C-B958-44FD-917D-FF97AF04CD48}">
  <dimension ref="A1:AB10"/>
  <sheetViews>
    <sheetView workbookViewId="0">
      <selection activeCell="L24" sqref="L24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55.310719249403505</v>
      </c>
      <c r="F2">
        <v>77.860033542415152</v>
      </c>
      <c r="G2">
        <v>80.826363832536202</v>
      </c>
      <c r="H2">
        <v>91.231952615373473</v>
      </c>
      <c r="I2">
        <v>84.388554815479068</v>
      </c>
      <c r="J2">
        <v>93.896946454124077</v>
      </c>
      <c r="K2">
        <v>100.11832953681728</v>
      </c>
      <c r="L2">
        <v>106.54848702196156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17.388462411229362</v>
      </c>
      <c r="T2">
        <f t="shared" si="2"/>
        <v>74.189029414089504</v>
      </c>
      <c r="U2">
        <f t="shared" si="2"/>
        <v>83.537758372198113</v>
      </c>
      <c r="V2">
        <f t="shared" si="2"/>
        <v>85.782675975301572</v>
      </c>
      <c r="W2">
        <f t="shared" si="2"/>
        <v>91.448495421090129</v>
      </c>
      <c r="X2">
        <f t="shared" si="2"/>
        <v>101.06313759549084</v>
      </c>
      <c r="Y2">
        <f t="shared" si="2"/>
        <v>105.70268120235505</v>
      </c>
      <c r="Z2">
        <f t="shared" si="2"/>
        <v>102.04926740808064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62.239066458331607</v>
      </c>
      <c r="F3">
        <v>76.92332497992173</v>
      </c>
      <c r="G3">
        <v>72.304314361968494</v>
      </c>
      <c r="H3">
        <v>87.412483533606832</v>
      </c>
      <c r="I3">
        <v>83.142392979651547</v>
      </c>
      <c r="J3">
        <v>97.242740423211785</v>
      </c>
      <c r="K3">
        <v>110.3525971290247</v>
      </c>
      <c r="L3">
        <v>95.149121552764697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28.360531548475041</v>
      </c>
      <c r="T3">
        <f t="shared" si="3"/>
        <v>6.7077088729578795</v>
      </c>
      <c r="U3">
        <f t="shared" si="3"/>
        <v>7.5556544180893477</v>
      </c>
      <c r="V3">
        <f t="shared" si="3"/>
        <v>8.8781047089530976</v>
      </c>
      <c r="W3">
        <f t="shared" si="3"/>
        <v>7.9893331092764965</v>
      </c>
      <c r="X3">
        <f t="shared" si="3"/>
        <v>8.4236679148434561</v>
      </c>
      <c r="Y3">
        <f t="shared" si="3"/>
        <v>8.9790305454364745</v>
      </c>
      <c r="Z3">
        <f t="shared" si="3"/>
        <v>7.2642856526921973</v>
      </c>
      <c r="AA3" t="e">
        <f t="shared" si="3"/>
        <v>#DIV/0!</v>
      </c>
      <c r="AB3" t="e">
        <f t="shared" si="3"/>
        <v>#DIV/0!</v>
      </c>
    </row>
    <row r="5" spans="1:28">
      <c r="E5">
        <v>2.6969923962204212</v>
      </c>
      <c r="F5">
        <v>75.77039819804348</v>
      </c>
      <c r="G5">
        <v>80.568205716061613</v>
      </c>
      <c r="H5">
        <v>86.940256984010119</v>
      </c>
      <c r="I5">
        <v>91.840266362279195</v>
      </c>
      <c r="J5">
        <v>94.73276596516429</v>
      </c>
      <c r="K5">
        <v>93.27149014955836</v>
      </c>
      <c r="L5">
        <v>92.849826871183936</v>
      </c>
    </row>
    <row r="6" spans="1:28">
      <c r="E6">
        <v>1.4724587746499869</v>
      </c>
      <c r="F6">
        <v>62.88414697974347</v>
      </c>
      <c r="G6">
        <v>78.771708799152776</v>
      </c>
      <c r="H6">
        <v>76.700932276398035</v>
      </c>
      <c r="I6">
        <v>86.987008281671962</v>
      </c>
      <c r="J6">
        <v>92.414305014782585</v>
      </c>
      <c r="K6">
        <v>96.451806609451751</v>
      </c>
      <c r="L6">
        <v>95.923851345352247</v>
      </c>
    </row>
    <row r="8" spans="1:28">
      <c r="E8">
        <v>2.0399026263171229E-3</v>
      </c>
      <c r="F8">
        <v>70.468412363180292</v>
      </c>
      <c r="G8">
        <v>91.166454517654827</v>
      </c>
      <c r="H8">
        <v>71.153863419705075</v>
      </c>
      <c r="I8">
        <v>103.47389519920233</v>
      </c>
      <c r="J8">
        <v>110.79961187162897</v>
      </c>
      <c r="K8">
        <v>114.2207241913928</v>
      </c>
      <c r="L8">
        <v>104.99779502500594</v>
      </c>
    </row>
    <row r="9" spans="1:28">
      <c r="E9">
        <v>6.9360793114991992E-2</v>
      </c>
      <c r="F9">
        <v>84.036590384395737</v>
      </c>
      <c r="G9">
        <v>93.767481295596895</v>
      </c>
      <c r="H9">
        <v>96.913196273267374</v>
      </c>
      <c r="I9">
        <v>89.152956174493951</v>
      </c>
      <c r="J9">
        <v>112.21334692405097</v>
      </c>
      <c r="K9">
        <v>115.82418341148298</v>
      </c>
      <c r="L9">
        <v>111.52789586752615</v>
      </c>
    </row>
    <row r="10" spans="1:28">
      <c r="E10">
        <v>-7.1400695741309958E-2</v>
      </c>
      <c r="F10">
        <v>71.380299450926643</v>
      </c>
      <c r="G10">
        <v>87.35978008241598</v>
      </c>
      <c r="H10">
        <v>90.12604672475014</v>
      </c>
      <c r="I10">
        <v>101.15439413485301</v>
      </c>
      <c r="J10">
        <v>106.14224651547323</v>
      </c>
      <c r="K10">
        <v>109.67963738875738</v>
      </c>
      <c r="L10">
        <v>107.34789417277003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9CF8-67C3-4957-A808-1B3F5CB3C495}">
  <dimension ref="A1:AB9"/>
  <sheetViews>
    <sheetView workbookViewId="0">
      <selection activeCell="I15" sqref="I15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0.80358941774232029</v>
      </c>
      <c r="F2">
        <v>0.38958153947917357</v>
      </c>
      <c r="G2">
        <v>7.4303412932680821E-2</v>
      </c>
      <c r="H2">
        <v>0.10658713696941451</v>
      </c>
      <c r="I2">
        <v>0.25362720822762463</v>
      </c>
      <c r="J2">
        <v>15.588111746730648</v>
      </c>
      <c r="K2">
        <v>41.834781645646942</v>
      </c>
      <c r="L2">
        <v>71.0152015179751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0.72625747045347155</v>
      </c>
      <c r="T2">
        <f t="shared" si="2"/>
        <v>0.1033069659148762</v>
      </c>
      <c r="U2">
        <f t="shared" si="2"/>
        <v>5.747254066079182E-2</v>
      </c>
      <c r="V2">
        <f t="shared" si="2"/>
        <v>4.2286741834938725E-2</v>
      </c>
      <c r="W2">
        <f t="shared" si="2"/>
        <v>3.6834648664002011E-2</v>
      </c>
      <c r="X2">
        <f t="shared" si="2"/>
        <v>13.517196114533364</v>
      </c>
      <c r="Y2">
        <f t="shared" si="2"/>
        <v>43.033731137699441</v>
      </c>
      <c r="Z2">
        <f t="shared" si="2"/>
        <v>84.291588251609156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0.90148849730111413</v>
      </c>
      <c r="F3">
        <v>0.35456299611943798</v>
      </c>
      <c r="G3">
        <v>7.4303412932680821E-2</v>
      </c>
      <c r="H3">
        <v>0.12364072311175922</v>
      </c>
      <c r="I3">
        <v>3.7420031969469414E-2</v>
      </c>
      <c r="J3">
        <v>-8.8648282916564403E-2</v>
      </c>
      <c r="K3">
        <v>39.601418411154135</v>
      </c>
      <c r="L3">
        <v>65.179115600170192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0.50806376876896664</v>
      </c>
      <c r="T3">
        <f t="shared" si="3"/>
        <v>0.28659106766082876</v>
      </c>
      <c r="U3">
        <f t="shared" si="3"/>
        <v>0.21261449015580053</v>
      </c>
      <c r="V3">
        <f t="shared" si="3"/>
        <v>0.22858722692870428</v>
      </c>
      <c r="W3">
        <f t="shared" si="3"/>
        <v>0.18719877281481034</v>
      </c>
      <c r="X3">
        <f t="shared" si="3"/>
        <v>26.46916511908119</v>
      </c>
      <c r="Y3">
        <f t="shared" si="3"/>
        <v>39.14431931911686</v>
      </c>
      <c r="Z3">
        <f t="shared" si="3"/>
        <v>13.399102625370867</v>
      </c>
      <c r="AA3" t="e">
        <f t="shared" si="3"/>
        <v>#DIV/0!</v>
      </c>
      <c r="AB3" t="e">
        <f t="shared" si="3"/>
        <v>#DIV/0!</v>
      </c>
    </row>
    <row r="5" spans="1:28">
      <c r="E5">
        <v>0.58855248932182114</v>
      </c>
      <c r="F5">
        <v>0.30942163415782636</v>
      </c>
      <c r="G5">
        <v>0.1998394617019969</v>
      </c>
      <c r="H5">
        <v>0.23503460524264527</v>
      </c>
      <c r="I5">
        <v>0.25109973144159475</v>
      </c>
      <c r="J5">
        <v>0.27240915289645645</v>
      </c>
      <c r="K5">
        <v>86.649790276124506</v>
      </c>
      <c r="L5">
        <v>93.878599444058963</v>
      </c>
    </row>
    <row r="6" spans="1:28">
      <c r="E6">
        <v>1.593187572779992</v>
      </c>
      <c r="F6">
        <v>2.1047874542548064E-3</v>
      </c>
      <c r="G6">
        <v>-2.0600803705796782E-3</v>
      </c>
      <c r="H6">
        <v>-7.970730841795616E-2</v>
      </c>
      <c r="I6">
        <v>-0.10244881495124486</v>
      </c>
      <c r="J6">
        <v>66.000558254298895</v>
      </c>
      <c r="K6">
        <v>89.129964059484266</v>
      </c>
      <c r="L6">
        <v>94.649155251015046</v>
      </c>
    </row>
    <row r="8" spans="1:28">
      <c r="E8">
        <v>0.20822095954718978</v>
      </c>
      <c r="F8">
        <v>-0.27491359188461884</v>
      </c>
      <c r="G8">
        <v>0.31136223897079174</v>
      </c>
      <c r="H8">
        <v>0.22993484924899013</v>
      </c>
      <c r="I8">
        <v>-8.9183419242142153E-3</v>
      </c>
      <c r="J8">
        <v>-0.30205605512521932</v>
      </c>
      <c r="K8">
        <v>1.375344452172611</v>
      </c>
      <c r="L8">
        <v>84.208546245238907</v>
      </c>
    </row>
    <row r="9" spans="1:28">
      <c r="E9">
        <v>0.26250588602839081</v>
      </c>
      <c r="F9">
        <v>-0.16091556983681679</v>
      </c>
      <c r="G9">
        <v>-0.31291320220281965</v>
      </c>
      <c r="H9">
        <v>-0.36176955514522058</v>
      </c>
      <c r="I9">
        <v>-0.20977192277921772</v>
      </c>
      <c r="J9">
        <v>-0.36719812868402074</v>
      </c>
      <c r="K9">
        <v>-0.38891201838582112</v>
      </c>
      <c r="L9">
        <v>96.81891145119674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115B-4970-40AE-869D-0D5F80BACE3A}">
  <dimension ref="A1:AB15"/>
  <sheetViews>
    <sheetView workbookViewId="0">
      <selection activeCell="N20" sqref="N20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1.465211173777621</v>
      </c>
      <c r="F2">
        <v>-0.30846559246922267</v>
      </c>
      <c r="G2">
        <v>-0.8152301483104647</v>
      </c>
      <c r="H2">
        <v>-0.88867446130827688</v>
      </c>
      <c r="I2">
        <v>-0.79686907006101171</v>
      </c>
      <c r="J2">
        <v>-0.77850799181155861</v>
      </c>
      <c r="K2">
        <v>102.84386270832128</v>
      </c>
      <c r="L2">
        <v>98.187500487321955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2.8280968523830134</v>
      </c>
      <c r="T2">
        <f t="shared" si="2"/>
        <v>-0.27617639829375878</v>
      </c>
      <c r="U2">
        <f t="shared" si="2"/>
        <v>-0.82685205277249219</v>
      </c>
      <c r="V2">
        <f t="shared" si="2"/>
        <v>-0.9073334186413794</v>
      </c>
      <c r="W2">
        <f t="shared" si="2"/>
        <v>-0.80457147632985448</v>
      </c>
      <c r="X2">
        <f t="shared" si="2"/>
        <v>12.836771671248874</v>
      </c>
      <c r="Y2">
        <f t="shared" si="2"/>
        <v>94.007103380842878</v>
      </c>
      <c r="Z2">
        <f t="shared" si="2"/>
        <v>98.037175967033136</v>
      </c>
      <c r="AA2">
        <f t="shared" si="2"/>
        <v>96.915323201885172</v>
      </c>
      <c r="AB2">
        <f t="shared" si="2"/>
        <v>102.41687444159439</v>
      </c>
    </row>
    <row r="3" spans="1:28">
      <c r="A3" s="1"/>
      <c r="E3">
        <v>1.4321612876487719</v>
      </c>
      <c r="F3">
        <v>-0.19462712620327963</v>
      </c>
      <c r="G3">
        <v>-0.80054134043106873</v>
      </c>
      <c r="H3">
        <v>-0.87031338305882366</v>
      </c>
      <c r="I3">
        <v>-0.91070753632695478</v>
      </c>
      <c r="J3">
        <v>-0.72709730103408876</v>
      </c>
      <c r="K3">
        <v>97.221711437651877</v>
      </c>
      <c r="L3">
        <v>96.068639335117211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4.0557164143438849</v>
      </c>
      <c r="T3">
        <f t="shared" si="3"/>
        <v>0.65429781943494369</v>
      </c>
      <c r="U3">
        <f t="shared" si="3"/>
        <v>0.69159710698543275</v>
      </c>
      <c r="V3">
        <f t="shared" si="3"/>
        <v>0.72612614245979501</v>
      </c>
      <c r="W3">
        <f t="shared" si="3"/>
        <v>0.76688506272469403</v>
      </c>
      <c r="X3">
        <f t="shared" si="3"/>
        <v>28.795886579416401</v>
      </c>
      <c r="Y3">
        <f t="shared" si="3"/>
        <v>4.9296979216674623</v>
      </c>
      <c r="Z3">
        <f t="shared" si="3"/>
        <v>4.8569863597942131</v>
      </c>
      <c r="AA3">
        <f t="shared" si="3"/>
        <v>7.5631825654868265</v>
      </c>
      <c r="AB3">
        <f t="shared" si="3"/>
        <v>8.1592971008707131</v>
      </c>
    </row>
    <row r="5" spans="1:28">
      <c r="E5">
        <v>0.70331631837215525</v>
      </c>
      <c r="F5">
        <v>-0.90595535054469167</v>
      </c>
      <c r="G5">
        <v>-1.608132821958852</v>
      </c>
      <c r="H5">
        <v>-1.7010282904556604</v>
      </c>
      <c r="I5">
        <v>-1.4769869966649758</v>
      </c>
      <c r="J5">
        <v>-0.8759009462407511</v>
      </c>
      <c r="K5">
        <v>91.36348951290249</v>
      </c>
      <c r="L5">
        <v>94.513725239718767</v>
      </c>
    </row>
    <row r="6" spans="1:28">
      <c r="E6">
        <v>3.9389203755062496E-2</v>
      </c>
      <c r="F6">
        <v>-1.2911968739331929</v>
      </c>
      <c r="G6">
        <v>-1.5589530356909191</v>
      </c>
      <c r="H6">
        <v>-1.6163295887138132</v>
      </c>
      <c r="I6">
        <v>-1.5726143136158544</v>
      </c>
      <c r="J6">
        <v>-0.36497770159743098</v>
      </c>
      <c r="K6">
        <v>94.0956962421795</v>
      </c>
      <c r="L6">
        <v>100.0928975041514</v>
      </c>
    </row>
    <row r="8" spans="1:28">
      <c r="E8">
        <v>1.8726062327343724</v>
      </c>
      <c r="F8">
        <v>-0.88130138039521477</v>
      </c>
      <c r="G8">
        <v>-1.5544492423699687</v>
      </c>
      <c r="H8">
        <v>-1.7041187592228928</v>
      </c>
      <c r="I8">
        <v>-1.6065051827107615</v>
      </c>
      <c r="J8">
        <v>-1.7213049707258672</v>
      </c>
      <c r="K8">
        <v>94.028201472951494</v>
      </c>
      <c r="L8">
        <v>94.957167971030387</v>
      </c>
      <c r="M8">
        <v>90.599542280500827</v>
      </c>
      <c r="N8">
        <v>95.494767472630897</v>
      </c>
    </row>
    <row r="9" spans="1:28">
      <c r="E9">
        <v>1.1833980412974903</v>
      </c>
      <c r="F9">
        <v>-0.65472297298514526</v>
      </c>
      <c r="G9">
        <v>-1.4966154818831869</v>
      </c>
      <c r="H9">
        <v>-1.6746131634367858</v>
      </c>
      <c r="I9">
        <v>-1.6317169802954647</v>
      </c>
      <c r="J9">
        <v>-1.6763080627275069</v>
      </c>
      <c r="K9">
        <v>99.818493946479734</v>
      </c>
      <c r="L9">
        <v>99.364722402882705</v>
      </c>
      <c r="M9">
        <v>90.199375457614309</v>
      </c>
      <c r="N9">
        <v>95.237744341672183</v>
      </c>
    </row>
    <row r="11" spans="1:28">
      <c r="E11">
        <v>1.9065244161413537</v>
      </c>
      <c r="F11">
        <v>0.18005962525112171</v>
      </c>
      <c r="G11">
        <v>-0.20254508681923186</v>
      </c>
      <c r="H11">
        <v>-0.28475767347218556</v>
      </c>
      <c r="I11">
        <v>-0.28475767347218556</v>
      </c>
      <c r="J11">
        <v>-0.16143879349275503</v>
      </c>
      <c r="K11">
        <v>92.802048043915448</v>
      </c>
      <c r="L11">
        <v>108.57106324901699</v>
      </c>
      <c r="M11">
        <v>102.50945742282457</v>
      </c>
      <c r="N11">
        <v>108.81769676837202</v>
      </c>
    </row>
    <row r="12" spans="1:28">
      <c r="E12">
        <v>1.9096864930716448</v>
      </c>
      <c r="F12">
        <v>6.9388817403753064E-2</v>
      </c>
      <c r="G12">
        <v>-0.32270212545747362</v>
      </c>
      <c r="H12">
        <v>-0.34167411586101537</v>
      </c>
      <c r="I12">
        <v>-0.24365138014570872</v>
      </c>
      <c r="J12">
        <v>-0.24681345707599975</v>
      </c>
      <c r="K12">
        <v>92.738812159448088</v>
      </c>
      <c r="L12">
        <v>102.47783948059089</v>
      </c>
      <c r="M12">
        <v>104.35291764660096</v>
      </c>
      <c r="N12">
        <v>110.11728918370243</v>
      </c>
    </row>
    <row r="14" spans="1:28">
      <c r="E14">
        <v>3.7231862165767757</v>
      </c>
      <c r="F14">
        <v>0.64199718493577973</v>
      </c>
      <c r="G14">
        <v>0.12979243119226802</v>
      </c>
      <c r="H14">
        <v>0.10014512666049984</v>
      </c>
      <c r="I14">
        <v>0.51224377542191135</v>
      </c>
      <c r="J14">
        <v>68.183805357540848</v>
      </c>
      <c r="K14">
        <v>88.963828828812836</v>
      </c>
      <c r="L14">
        <v>93.558896911747269</v>
      </c>
    </row>
    <row r="15" spans="1:28">
      <c r="E15">
        <v>14.045489140454888</v>
      </c>
      <c r="F15">
        <v>0.58305968600250369</v>
      </c>
      <c r="G15">
        <v>-3.9143675996023801E-2</v>
      </c>
      <c r="H15">
        <v>-9.1969877544839609E-2</v>
      </c>
      <c r="I15">
        <v>-3.4149405427539643E-2</v>
      </c>
      <c r="J15">
        <v>66.736260579653845</v>
      </c>
      <c r="K15">
        <v>86.194889455765932</v>
      </c>
      <c r="L15">
        <v>92.579307088753779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06BD3-B6C9-4180-B039-60E85789E4B4}">
  <dimension ref="A1:AB9"/>
  <sheetViews>
    <sheetView workbookViewId="0">
      <selection activeCell="E8" sqref="E8:N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1.4174722061685439</v>
      </c>
      <c r="F2">
        <v>0.17626588835334148</v>
      </c>
      <c r="G2">
        <v>-0.49207582776208864</v>
      </c>
      <c r="H2">
        <v>-0.71240849315469279</v>
      </c>
      <c r="I2">
        <v>-0.84093576730003183</v>
      </c>
      <c r="J2">
        <v>-0.6756863366557867</v>
      </c>
      <c r="K2">
        <v>103.24780259939759</v>
      </c>
      <c r="L2">
        <v>97.86802226755529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1.1782247782718651</v>
      </c>
      <c r="T2">
        <f t="shared" si="2"/>
        <v>-0.17618668171581595</v>
      </c>
      <c r="U2">
        <f t="shared" si="2"/>
        <v>-0.87846821973055811</v>
      </c>
      <c r="V2">
        <f t="shared" si="2"/>
        <v>-1.1977539380545983</v>
      </c>
      <c r="W2">
        <f t="shared" si="2"/>
        <v>-1.2612268569909022</v>
      </c>
      <c r="X2">
        <f t="shared" si="2"/>
        <v>-1.0966393424235379</v>
      </c>
      <c r="Y2">
        <f t="shared" si="2"/>
        <v>81.293861612326012</v>
      </c>
      <c r="Z2">
        <f t="shared" si="2"/>
        <v>99.868304474681338</v>
      </c>
      <c r="AA2">
        <f t="shared" si="2"/>
        <v>94.295907914193108</v>
      </c>
      <c r="AB2">
        <f t="shared" si="2"/>
        <v>97.505743239936507</v>
      </c>
    </row>
    <row r="3" spans="1:28">
      <c r="A3" s="1"/>
      <c r="E3">
        <v>2.0380755018765613</v>
      </c>
      <c r="F3">
        <v>0.13587173508521058</v>
      </c>
      <c r="G3">
        <v>-0.54715906251044766</v>
      </c>
      <c r="H3">
        <v>-0.7748359950423338</v>
      </c>
      <c r="I3">
        <v>-0.86296884231870963</v>
      </c>
      <c r="J3">
        <v>-0.47738701988269255</v>
      </c>
      <c r="K3">
        <v>93.086801759570704</v>
      </c>
      <c r="L3">
        <v>100.23292279854554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0.72308857380866798</v>
      </c>
      <c r="T3">
        <f t="shared" si="3"/>
        <v>0.35965405862560867</v>
      </c>
      <c r="U3">
        <f t="shared" si="3"/>
        <v>0.28064129133230836</v>
      </c>
      <c r="V3">
        <f t="shared" si="3"/>
        <v>0.35496486806060118</v>
      </c>
      <c r="W3">
        <f t="shared" si="3"/>
        <v>0.32651971416143027</v>
      </c>
      <c r="X3">
        <f t="shared" si="3"/>
        <v>0.5068089812973402</v>
      </c>
      <c r="Y3">
        <f t="shared" si="3"/>
        <v>33.842816035381141</v>
      </c>
      <c r="Z3">
        <f t="shared" si="3"/>
        <v>3.3089770803005778</v>
      </c>
      <c r="AA3">
        <f t="shared" si="3"/>
        <v>7.5616695117450894E-2</v>
      </c>
      <c r="AB3">
        <f t="shared" si="3"/>
        <v>0.87289517930137717</v>
      </c>
    </row>
    <row r="5" spans="1:28">
      <c r="E5">
        <v>1.5448363818351527</v>
      </c>
      <c r="F5">
        <v>-0.10815015504873589</v>
      </c>
      <c r="G5">
        <v>-1.0043145159496403</v>
      </c>
      <c r="H5">
        <v>-1.4605938702859707</v>
      </c>
      <c r="I5">
        <v>-1.4004850616780897</v>
      </c>
      <c r="J5">
        <v>-1.0726200913124824</v>
      </c>
      <c r="K5">
        <v>92.898985395453678</v>
      </c>
      <c r="L5">
        <v>96.032831660069192</v>
      </c>
    </row>
    <row r="6" spans="1:28">
      <c r="E6">
        <v>1.4847283874891057</v>
      </c>
      <c r="F6">
        <v>-3.4380475646836703E-2</v>
      </c>
      <c r="G6">
        <v>-1.0726200913124824</v>
      </c>
      <c r="H6">
        <v>-1.3431085086551957</v>
      </c>
      <c r="I6">
        <v>-1.3868241908840715</v>
      </c>
      <c r="J6">
        <v>-0.97152826319162977</v>
      </c>
      <c r="K6">
        <v>93.467288043036319</v>
      </c>
      <c r="L6">
        <v>97.546472754987832</v>
      </c>
    </row>
    <row r="8" spans="1:28">
      <c r="E8">
        <v>0.3895454912116677</v>
      </c>
      <c r="F8">
        <v>-0.70867030216426552</v>
      </c>
      <c r="G8">
        <v>-1.1098514680256328</v>
      </c>
      <c r="H8">
        <v>-1.4606971817983985</v>
      </c>
      <c r="I8">
        <v>-1.4696420970537489</v>
      </c>
      <c r="J8">
        <v>-1.6838076870829251</v>
      </c>
      <c r="K8">
        <v>92.331731291115887</v>
      </c>
      <c r="L8">
        <v>104.03463913716504</v>
      </c>
      <c r="M8">
        <v>94.349376992081574</v>
      </c>
      <c r="N8">
        <v>96.888513139387456</v>
      </c>
    </row>
    <row r="9" spans="1:28">
      <c r="E9">
        <v>0.19469070105015868</v>
      </c>
      <c r="F9">
        <v>-0.51805678087360962</v>
      </c>
      <c r="G9">
        <v>-1.0447883528230575</v>
      </c>
      <c r="H9">
        <v>-1.4348795793909992</v>
      </c>
      <c r="I9">
        <v>-1.6065051827107615</v>
      </c>
      <c r="J9">
        <v>-1.6988066564157116</v>
      </c>
      <c r="K9">
        <v>12.730560585381912</v>
      </c>
      <c r="L9">
        <v>103.49493822976513</v>
      </c>
      <c r="M9">
        <v>94.242438836304643</v>
      </c>
      <c r="N9">
        <v>98.122973340485558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AE66-27DC-4E18-BC0C-1564C71EC303}">
  <dimension ref="A1:AB9"/>
  <sheetViews>
    <sheetView workbookViewId="0">
      <selection activeCell="E8" sqref="E8:N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1.8544652665836954</v>
      </c>
      <c r="F2">
        <v>0.30112116572945569</v>
      </c>
      <c r="G2">
        <v>-0.44433713375384365</v>
      </c>
      <c r="H2">
        <v>-0.48840355739203151</v>
      </c>
      <c r="I2">
        <v>51.991125013594399</v>
      </c>
      <c r="J2">
        <v>95.007374539035638</v>
      </c>
      <c r="K2">
        <v>104.91865880489199</v>
      </c>
      <c r="L2">
        <v>100.97104093490204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1.1206218173538067</v>
      </c>
      <c r="T2">
        <f t="shared" si="2"/>
        <v>-0.25046274067860153</v>
      </c>
      <c r="U2">
        <f t="shared" si="2"/>
        <v>0.68621513454145455</v>
      </c>
      <c r="V2">
        <f t="shared" si="2"/>
        <v>0.40308057342983411</v>
      </c>
      <c r="W2">
        <f t="shared" si="2"/>
        <v>32.415920146909471</v>
      </c>
      <c r="X2">
        <f t="shared" si="2"/>
        <v>87.758043033632944</v>
      </c>
      <c r="Y2">
        <f t="shared" si="2"/>
        <v>99.403465612069297</v>
      </c>
      <c r="Z2">
        <f t="shared" si="2"/>
        <v>101.93422549996285</v>
      </c>
      <c r="AA2">
        <f t="shared" si="2"/>
        <v>97.395473594769896</v>
      </c>
      <c r="AB2">
        <f t="shared" si="2"/>
        <v>99.129358850170803</v>
      </c>
    </row>
    <row r="3" spans="1:28">
      <c r="A3" s="1"/>
      <c r="E3">
        <v>1.5790493664427319</v>
      </c>
      <c r="F3">
        <v>0.55450344365007664</v>
      </c>
      <c r="G3">
        <v>-0.3268263971178435</v>
      </c>
      <c r="H3">
        <v>1.6341328747919233</v>
      </c>
      <c r="I3">
        <v>83.043313571585642</v>
      </c>
      <c r="J3">
        <v>99.061490985765573</v>
      </c>
      <c r="K3">
        <v>103.81332895317638</v>
      </c>
      <c r="L3">
        <v>100.5524010183122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0.82707153823031365</v>
      </c>
      <c r="T3">
        <f t="shared" si="3"/>
        <v>0.55379711578742963</v>
      </c>
      <c r="U3">
        <f t="shared" si="3"/>
        <v>3.6119496573608338</v>
      </c>
      <c r="V3">
        <f t="shared" si="3"/>
        <v>2.5146916707051412</v>
      </c>
      <c r="W3">
        <f t="shared" si="3"/>
        <v>37.751523511293605</v>
      </c>
      <c r="X3">
        <f t="shared" si="3"/>
        <v>13.960762073717351</v>
      </c>
      <c r="Y3">
        <f t="shared" si="3"/>
        <v>4.1030811570491617</v>
      </c>
      <c r="Z3">
        <f t="shared" si="3"/>
        <v>2.6654688527908288</v>
      </c>
      <c r="AA3">
        <f t="shared" si="3"/>
        <v>0.9903623592412969</v>
      </c>
      <c r="AB3">
        <f t="shared" si="3"/>
        <v>0.35837123969471391</v>
      </c>
    </row>
    <row r="5" spans="1:28">
      <c r="E5">
        <v>0.18692856255886089</v>
      </c>
      <c r="F5">
        <v>-0.5726254618781933</v>
      </c>
      <c r="G5">
        <v>-0.99611815632559619</v>
      </c>
      <c r="H5">
        <v>5.0010814771226331</v>
      </c>
      <c r="I5">
        <v>61.872020242532912</v>
      </c>
      <c r="J5">
        <v>94.991859788818573</v>
      </c>
      <c r="K5">
        <v>94.292415387251225</v>
      </c>
      <c r="L5">
        <v>101.68304012692599</v>
      </c>
    </row>
    <row r="6" spans="1:28">
      <c r="E6">
        <v>0.20605394452285317</v>
      </c>
      <c r="F6">
        <v>-0.35404908638839988</v>
      </c>
      <c r="G6">
        <v>8.0283685525309014</v>
      </c>
      <c r="H6">
        <v>-1.0835487065215135</v>
      </c>
      <c r="I6">
        <v>4.2121866470966704E-2</v>
      </c>
      <c r="J6">
        <v>97.775983852650413</v>
      </c>
      <c r="K6">
        <v>97.303308114887741</v>
      </c>
      <c r="L6">
        <v>98.316959873074012</v>
      </c>
    </row>
    <row r="8" spans="1:28">
      <c r="E8">
        <v>2.0602440593276956</v>
      </c>
      <c r="F8">
        <v>-0.84533649427580115</v>
      </c>
      <c r="G8">
        <v>-1.1315392628631216</v>
      </c>
      <c r="H8">
        <v>-1.2910395938391717</v>
      </c>
      <c r="I8">
        <v>-1.552480400526713</v>
      </c>
      <c r="J8">
        <v>69.343931581201602</v>
      </c>
      <c r="K8">
        <v>97.827291730992471</v>
      </c>
      <c r="L8">
        <v>104.69801964089802</v>
      </c>
      <c r="M8">
        <v>98.095765534821325</v>
      </c>
      <c r="N8">
        <v>99.382765583941165</v>
      </c>
    </row>
    <row r="9" spans="1:28">
      <c r="E9">
        <v>0.83698970468700284</v>
      </c>
      <c r="F9">
        <v>-0.58639001090874721</v>
      </c>
      <c r="G9">
        <v>-1.01225679522177</v>
      </c>
      <c r="H9">
        <v>-1.3537390535828344</v>
      </c>
      <c r="I9">
        <v>-0.90057941220042259</v>
      </c>
      <c r="J9">
        <v>70.367617454325909</v>
      </c>
      <c r="K9">
        <v>98.265790681216032</v>
      </c>
      <c r="L9">
        <v>105.38389140566488</v>
      </c>
      <c r="M9">
        <v>96.695181654718468</v>
      </c>
      <c r="N9">
        <v>98.875952116400441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0AC3-5AEF-4439-A5C8-0D843863928B}">
  <dimension ref="A1:AB12"/>
  <sheetViews>
    <sheetView workbookViewId="0">
      <selection activeCell="G11" sqref="G11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-2.651392589754769E-2</v>
      </c>
      <c r="F2">
        <v>7.9540460753990225E-2</v>
      </c>
      <c r="G2">
        <v>0.32699981831514346</v>
      </c>
      <c r="H2">
        <v>22.545294392944047</v>
      </c>
      <c r="I2">
        <v>78.930618070389528</v>
      </c>
      <c r="J2">
        <v>86.531155669330474</v>
      </c>
      <c r="K2">
        <v>106.55766265935112</v>
      </c>
      <c r="L2">
        <v>107.70658101110371</v>
      </c>
      <c r="M2">
        <v>137.40167231191444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-0.13353376988736071</v>
      </c>
      <c r="T2">
        <f t="shared" si="2"/>
        <v>-4.7050432494466908E-2</v>
      </c>
      <c r="U2">
        <f t="shared" si="2"/>
        <v>2.0918052596330865</v>
      </c>
      <c r="V2">
        <f t="shared" si="2"/>
        <v>44.179419255066527</v>
      </c>
      <c r="W2">
        <f t="shared" si="2"/>
        <v>77.966337394463721</v>
      </c>
      <c r="X2">
        <f t="shared" si="2"/>
        <v>93.185271767083009</v>
      </c>
      <c r="Y2">
        <f t="shared" si="2"/>
        <v>102.80418189319687</v>
      </c>
      <c r="Z2">
        <f t="shared" si="2"/>
        <v>104.27880340150649</v>
      </c>
      <c r="AA2">
        <f t="shared" si="2"/>
        <v>116.01317303516458</v>
      </c>
      <c r="AB2">
        <f t="shared" si="2"/>
        <v>102.92210775546025</v>
      </c>
    </row>
    <row r="3" spans="1:28">
      <c r="A3" s="1"/>
      <c r="E3">
        <v>-0.18559484740552815</v>
      </c>
      <c r="F3">
        <v>0.3446757689135086</v>
      </c>
      <c r="G3">
        <v>0.78656663224071977</v>
      </c>
      <c r="H3">
        <v>43.261155554669017</v>
      </c>
      <c r="I3">
        <v>82.448076928040777</v>
      </c>
      <c r="J3">
        <v>98.674320386345556</v>
      </c>
      <c r="K3">
        <v>128.77595591704136</v>
      </c>
      <c r="L3">
        <v>111.04727509501669</v>
      </c>
      <c r="M3">
        <v>118.311972266466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0.27987673792285184</v>
      </c>
      <c r="T3">
        <f t="shared" si="3"/>
        <v>0.3263254244970995</v>
      </c>
      <c r="U3">
        <f t="shared" si="3"/>
        <v>5.9171759867737483</v>
      </c>
      <c r="V3">
        <f t="shared" si="3"/>
        <v>32.856204212086709</v>
      </c>
      <c r="W3">
        <f t="shared" si="3"/>
        <v>4.0870599533943581</v>
      </c>
      <c r="X3">
        <f t="shared" si="3"/>
        <v>5.0903160656166273</v>
      </c>
      <c r="Y3">
        <f t="shared" si="3"/>
        <v>11.196577509558129</v>
      </c>
      <c r="Z3">
        <f t="shared" si="3"/>
        <v>3.4969515560878826</v>
      </c>
      <c r="AA3">
        <f t="shared" si="3"/>
        <v>15.742519139218576</v>
      </c>
      <c r="AB3">
        <f t="shared" si="3"/>
        <v>0.4986031775968584</v>
      </c>
    </row>
    <row r="5" spans="1:28">
      <c r="E5">
        <v>-0.32927408517515416</v>
      </c>
      <c r="F5">
        <v>0.38957543637481562</v>
      </c>
      <c r="G5">
        <v>-0.27105012606868228</v>
      </c>
      <c r="H5">
        <v>71.409061926090217</v>
      </c>
      <c r="I5">
        <v>74.303336089045217</v>
      </c>
      <c r="J5">
        <v>88.950812560328828</v>
      </c>
      <c r="K5">
        <v>97.5607921077155</v>
      </c>
      <c r="L5">
        <v>101.85761189535459</v>
      </c>
    </row>
    <row r="6" spans="1:28">
      <c r="E6">
        <v>-0.34599908741463137</v>
      </c>
      <c r="F6">
        <v>-0.40036701930901775</v>
      </c>
      <c r="G6">
        <v>16.703097770975269</v>
      </c>
      <c r="H6">
        <v>74.364355075238137</v>
      </c>
      <c r="I6">
        <v>79.240886592159811</v>
      </c>
      <c r="J6">
        <v>94.658826817645121</v>
      </c>
      <c r="K6">
        <v>98.461745717594965</v>
      </c>
      <c r="L6">
        <v>105.19039644041577</v>
      </c>
    </row>
    <row r="8" spans="1:28">
      <c r="E8">
        <v>-0.3543221879930773</v>
      </c>
      <c r="F8">
        <v>-0.40175263518013626</v>
      </c>
      <c r="G8">
        <v>-0.39542848131955416</v>
      </c>
      <c r="H8">
        <v>-0.30372989946482959</v>
      </c>
      <c r="I8">
        <v>76.018032058991736</v>
      </c>
      <c r="J8">
        <v>97.481842742807842</v>
      </c>
      <c r="K8">
        <v>99.148230427913575</v>
      </c>
      <c r="L8">
        <v>101.72843996992343</v>
      </c>
      <c r="M8">
        <v>103.86596816525663</v>
      </c>
      <c r="N8">
        <v>102.56954206746035</v>
      </c>
    </row>
    <row r="9" spans="1:28">
      <c r="E9">
        <v>-0.38278040918749223</v>
      </c>
      <c r="F9">
        <v>-0.40491471211042729</v>
      </c>
      <c r="G9">
        <v>-0.38278040918749223</v>
      </c>
      <c r="H9">
        <v>-0.35748426492336838</v>
      </c>
      <c r="I9">
        <v>70.535078301013101</v>
      </c>
      <c r="J9">
        <v>99.733207592344343</v>
      </c>
      <c r="K9">
        <v>102.37981933635571</v>
      </c>
      <c r="L9">
        <v>103.12605252948903</v>
      </c>
      <c r="M9">
        <v>104.47307939702124</v>
      </c>
      <c r="N9">
        <v>103.27467344346014</v>
      </c>
    </row>
    <row r="11" spans="1:28">
      <c r="E11">
        <v>0.25654845508908869</v>
      </c>
      <c r="F11">
        <v>-6.3146760185954689E-3</v>
      </c>
      <c r="G11">
        <v>-1.4421483574776283E-2</v>
      </c>
      <c r="H11">
        <v>69.465957409495076</v>
      </c>
      <c r="I11">
        <v>82.093567562892204</v>
      </c>
      <c r="J11">
        <v>90.620780229248581</v>
      </c>
      <c r="K11">
        <v>94.576843779650005</v>
      </c>
      <c r="L11">
        <v>102.52684805913402</v>
      </c>
    </row>
    <row r="12" spans="1:28">
      <c r="E12">
        <v>0.29966592888545657</v>
      </c>
      <c r="F12">
        <v>2.3153916620127068E-2</v>
      </c>
      <c r="G12">
        <v>-1.8541644315935638E-2</v>
      </c>
      <c r="H12">
        <v>73.050743846483911</v>
      </c>
      <c r="I12">
        <v>80.161103553177469</v>
      </c>
      <c r="J12">
        <v>88.831228138613369</v>
      </c>
      <c r="K12">
        <v>94.972405199952675</v>
      </c>
      <c r="L12">
        <v>101.04722221161462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E7CD-403C-4196-AB43-3D070FBB2C5A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13.318376058436998</v>
      </c>
      <c r="F2">
        <v>6.8505142041157647</v>
      </c>
      <c r="G2">
        <v>2.0499144444324044</v>
      </c>
      <c r="H2">
        <v>1.0616070201958046</v>
      </c>
      <c r="I2">
        <v>1.0020371410944402</v>
      </c>
      <c r="J2">
        <v>52.932392269111638</v>
      </c>
      <c r="K2">
        <v>83.420959640157449</v>
      </c>
      <c r="L2">
        <v>88.099607257659869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7.0376100862293427</v>
      </c>
      <c r="T2">
        <f t="shared" si="2"/>
        <v>4.826944475776652</v>
      </c>
      <c r="U2">
        <f t="shared" si="2"/>
        <v>1.639583669850305</v>
      </c>
      <c r="V2">
        <f t="shared" si="2"/>
        <v>0.62313304163870553</v>
      </c>
      <c r="W2">
        <f t="shared" si="2"/>
        <v>0.35620474605578134</v>
      </c>
      <c r="X2">
        <f t="shared" si="2"/>
        <v>32.536121617782186</v>
      </c>
      <c r="Y2">
        <f t="shared" si="2"/>
        <v>57.629809152980897</v>
      </c>
      <c r="Z2">
        <f t="shared" si="2"/>
        <v>86.085937259300849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11.800937590002365</v>
      </c>
      <c r="F3">
        <v>12.348433991134247</v>
      </c>
      <c r="G3">
        <v>3.3436770288782127</v>
      </c>
      <c r="H3">
        <v>0.89106798222984307</v>
      </c>
      <c r="I3">
        <v>0.33678400511619561</v>
      </c>
      <c r="J3">
        <v>0.37792151739527297</v>
      </c>
      <c r="K3">
        <v>78.465172407891359</v>
      </c>
      <c r="L3">
        <v>87.072581598110133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4.4144212701887726</v>
      </c>
      <c r="T3">
        <f t="shared" si="3"/>
        <v>4.1753914928352582</v>
      </c>
      <c r="U3">
        <f t="shared" si="3"/>
        <v>0.95064502012554952</v>
      </c>
      <c r="V3">
        <f t="shared" si="3"/>
        <v>0.3027424289916632</v>
      </c>
      <c r="W3">
        <f t="shared" si="3"/>
        <v>0.44284169597665268</v>
      </c>
      <c r="X3">
        <f t="shared" si="3"/>
        <v>36.292123195277135</v>
      </c>
      <c r="Y3">
        <f t="shared" si="3"/>
        <v>44.981001189783335</v>
      </c>
      <c r="Z3">
        <f t="shared" si="3"/>
        <v>17.048574152078398</v>
      </c>
      <c r="AA3" t="e">
        <f t="shared" si="3"/>
        <v>#DIV/0!</v>
      </c>
      <c r="AB3" t="e">
        <f t="shared" si="3"/>
        <v>#DIV/0!</v>
      </c>
    </row>
    <row r="5" spans="1:28">
      <c r="E5">
        <v>2.9427618041099803</v>
      </c>
      <c r="F5">
        <v>1.2355814355212196</v>
      </c>
      <c r="G5">
        <v>0.63660136674428913</v>
      </c>
      <c r="H5">
        <v>0.54977621435663981</v>
      </c>
      <c r="I5">
        <v>0.22297667406983782</v>
      </c>
      <c r="J5">
        <v>68.525807929603019</v>
      </c>
      <c r="K5">
        <v>94.410708548978562</v>
      </c>
      <c r="L5">
        <v>52.420282355175601</v>
      </c>
    </row>
    <row r="6" spans="1:28">
      <c r="E6">
        <v>3.4601702046681444</v>
      </c>
      <c r="F6">
        <v>1.7702281871733831</v>
      </c>
      <c r="G6">
        <v>1.262902024642107</v>
      </c>
      <c r="H6">
        <v>0.22277173156915495</v>
      </c>
      <c r="I6">
        <v>0.74526416336184498</v>
      </c>
      <c r="J6">
        <v>73.751295483199229</v>
      </c>
      <c r="K6">
        <v>89.521564489954855</v>
      </c>
      <c r="L6">
        <v>96.637025648770774</v>
      </c>
    </row>
    <row r="8" spans="1:28">
      <c r="E8">
        <v>5.5064193492146867</v>
      </c>
      <c r="F8">
        <v>3.1993144227510442</v>
      </c>
      <c r="G8">
        <v>1.1527769816158071</v>
      </c>
      <c r="H8">
        <v>0.53393011398099588</v>
      </c>
      <c r="I8">
        <v>-0.13377310659621625</v>
      </c>
      <c r="J8">
        <v>3.4509841932786819E-2</v>
      </c>
      <c r="K8">
        <v>-0.39976876101002112</v>
      </c>
      <c r="L8">
        <v>96.932909068791147</v>
      </c>
    </row>
    <row r="9" spans="1:28">
      <c r="E9">
        <v>5.1969955109438803</v>
      </c>
      <c r="F9">
        <v>3.5575946139642509</v>
      </c>
      <c r="G9">
        <v>1.3916301727890115</v>
      </c>
      <c r="H9">
        <v>0.47964518749979485</v>
      </c>
      <c r="I9">
        <v>-3.6060400711414448E-2</v>
      </c>
      <c r="J9">
        <v>-0.40519733454882129</v>
      </c>
      <c r="K9">
        <v>0.36021859191319261</v>
      </c>
      <c r="L9">
        <v>95.353217627297511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8886-D9F7-47F4-ACA0-85B71CCFAD38}">
  <dimension ref="A1:AB9"/>
  <sheetViews>
    <sheetView workbookViewId="0">
      <selection activeCell="P38" sqref="P38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2.9917808949332199</v>
      </c>
      <c r="F2">
        <v>1.9483478963029119</v>
      </c>
      <c r="G2">
        <v>0.74180037418313249</v>
      </c>
      <c r="H2">
        <v>0.37451793350996654</v>
      </c>
      <c r="I2">
        <v>3.0955707525268443</v>
      </c>
      <c r="J2">
        <v>84.655140011276075</v>
      </c>
      <c r="K2">
        <v>96.55003626694409</v>
      </c>
      <c r="L2">
        <v>92.185428290381111</v>
      </c>
      <c r="M2">
        <v>104.66379154240242</v>
      </c>
      <c r="N2">
        <v>99.98134822047713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1.4292870760452108</v>
      </c>
      <c r="T2">
        <f t="shared" si="2"/>
        <v>-0.21503051549745678</v>
      </c>
      <c r="U2">
        <f t="shared" si="2"/>
        <v>-0.90581046046802627</v>
      </c>
      <c r="V2">
        <f t="shared" si="2"/>
        <v>-0.35074421395667049</v>
      </c>
      <c r="W2">
        <f t="shared" si="2"/>
        <v>9.5131143198915407</v>
      </c>
      <c r="X2">
        <f t="shared" si="2"/>
        <v>25.825782121658253</v>
      </c>
      <c r="Y2">
        <f t="shared" si="2"/>
        <v>47.528353598682351</v>
      </c>
      <c r="Z2">
        <f t="shared" si="2"/>
        <v>97.372707698748854</v>
      </c>
      <c r="AA2">
        <f t="shared" si="2"/>
        <v>99.975914726823646</v>
      </c>
      <c r="AB2">
        <f t="shared" si="2"/>
        <v>94.179282489407001</v>
      </c>
    </row>
    <row r="3" spans="1:28">
      <c r="A3" s="1"/>
      <c r="E3">
        <v>3.3534248709730883</v>
      </c>
      <c r="F3">
        <v>1.9378350502974906</v>
      </c>
      <c r="G3">
        <v>0.79478622798894882</v>
      </c>
      <c r="H3">
        <v>0.34114503466873847</v>
      </c>
      <c r="I3">
        <v>61.865470702405737</v>
      </c>
      <c r="J3">
        <v>77.284027844335583</v>
      </c>
      <c r="K3">
        <v>96.994223315705142</v>
      </c>
      <c r="L3">
        <v>92.146999472665669</v>
      </c>
      <c r="M3">
        <v>95.288037911244885</v>
      </c>
      <c r="N3">
        <v>88.377216758336886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2.7103430127889343</v>
      </c>
      <c r="T3">
        <f t="shared" si="3"/>
        <v>2.3513238452349365</v>
      </c>
      <c r="U3">
        <f t="shared" si="3"/>
        <v>1.9673871395528699</v>
      </c>
      <c r="V3">
        <f t="shared" si="3"/>
        <v>1.5706720709696218</v>
      </c>
      <c r="W3">
        <f t="shared" si="3"/>
        <v>25.776966057642394</v>
      </c>
      <c r="X3">
        <f t="shared" si="3"/>
        <v>42.800223700593371</v>
      </c>
      <c r="Y3">
        <f t="shared" si="3"/>
        <v>47.29367607151638</v>
      </c>
      <c r="Z3">
        <f t="shared" si="3"/>
        <v>13.721542151720994</v>
      </c>
      <c r="AA3">
        <f t="shared" si="3"/>
        <v>6.6296589713258909</v>
      </c>
      <c r="AB3">
        <f t="shared" si="3"/>
        <v>8.2053600466595338</v>
      </c>
    </row>
    <row r="5" spans="1:28">
      <c r="E5">
        <v>3.2970271286358459</v>
      </c>
      <c r="F5">
        <v>0.55564400368279632</v>
      </c>
      <c r="G5">
        <v>-0.12291636397201622</v>
      </c>
      <c r="H5">
        <v>0.12136540073998831</v>
      </c>
      <c r="I5">
        <v>2.9081268393986653E-2</v>
      </c>
      <c r="J5">
        <v>-0.16091556983681679</v>
      </c>
      <c r="K5">
        <v>-0.42691122425062167</v>
      </c>
      <c r="L5">
        <v>110.28154086226259</v>
      </c>
    </row>
    <row r="6" spans="1:28">
      <c r="E6">
        <v>3.063602511001442</v>
      </c>
      <c r="F6">
        <v>0.5502154301439961</v>
      </c>
      <c r="G6">
        <v>-6.8631437490815156E-2</v>
      </c>
      <c r="H6">
        <v>-0.26405684926041878</v>
      </c>
      <c r="I6">
        <v>-0.40519733454882129</v>
      </c>
      <c r="J6">
        <v>-0.28577073896221916</v>
      </c>
      <c r="K6">
        <v>21.249016481397774</v>
      </c>
      <c r="L6">
        <v>116.40487474521311</v>
      </c>
    </row>
    <row r="8" spans="1:28">
      <c r="E8">
        <v>-2.0112535863710144</v>
      </c>
      <c r="F8">
        <v>-3.0290236506112658</v>
      </c>
      <c r="G8">
        <v>-3.1769812175321257</v>
      </c>
      <c r="H8">
        <v>-3.4773803290419001</v>
      </c>
      <c r="I8">
        <v>-3.7598452001385949</v>
      </c>
      <c r="J8">
        <v>-2.8631315092254987</v>
      </c>
      <c r="K8">
        <v>74.447028888673614</v>
      </c>
      <c r="L8">
        <v>94.564789712678461</v>
      </c>
    </row>
    <row r="9" spans="1:28">
      <c r="E9">
        <v>-2.1188593629013162</v>
      </c>
      <c r="F9">
        <v>-3.2532018228006701</v>
      </c>
      <c r="G9">
        <v>-3.6029203459852819</v>
      </c>
      <c r="H9">
        <v>0.79994352564360283</v>
      </c>
      <c r="I9">
        <v>-3.7463942692899161</v>
      </c>
      <c r="J9">
        <v>-3.6746573076375988</v>
      </c>
      <c r="K9">
        <v>-3.64327213637584</v>
      </c>
      <c r="L9">
        <v>78.65261310929219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198E-3EEC-4FC0-A52C-49FA62246A77}">
  <dimension ref="A1:AB9"/>
  <sheetViews>
    <sheetView workbookViewId="0">
      <selection activeCell="D8" sqref="D8:K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0.24473090730346939</v>
      </c>
      <c r="F2">
        <v>2.8031899790009352E-2</v>
      </c>
      <c r="G2">
        <v>6.3578296051901406E-2</v>
      </c>
      <c r="H2">
        <v>90.08527893963425</v>
      </c>
      <c r="I2">
        <v>83.419021900280455</v>
      </c>
      <c r="J2">
        <v>90.503348063020894</v>
      </c>
      <c r="K2">
        <v>99.896493085026009</v>
      </c>
      <c r="L2">
        <v>90.397510067363569</v>
      </c>
      <c r="M2">
        <v>108.12443575462343</v>
      </c>
      <c r="N2">
        <v>96.139561747441306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>
        <f t="shared" si="2"/>
        <v>0.5002598857034668</v>
      </c>
      <c r="S2">
        <f t="shared" si="2"/>
        <v>0.46211628218610268</v>
      </c>
      <c r="T2">
        <f t="shared" si="2"/>
        <v>0.86551875196465311</v>
      </c>
      <c r="U2">
        <f t="shared" si="2"/>
        <v>22.394650607657436</v>
      </c>
      <c r="V2">
        <f t="shared" si="2"/>
        <v>58.376281158035248</v>
      </c>
      <c r="W2">
        <f t="shared" si="2"/>
        <v>75.546438854753177</v>
      </c>
      <c r="X2">
        <f t="shared" si="2"/>
        <v>84.928439317745358</v>
      </c>
      <c r="Y2">
        <f t="shared" si="2"/>
        <v>87.603801113776981</v>
      </c>
      <c r="Z2">
        <f t="shared" si="2"/>
        <v>91.131058617283429</v>
      </c>
      <c r="AA2">
        <f t="shared" si="2"/>
        <v>108.01141740440215</v>
      </c>
      <c r="AB2">
        <f t="shared" si="2"/>
        <v>98.784393895392796</v>
      </c>
    </row>
    <row r="3" spans="1:28">
      <c r="A3" s="1"/>
      <c r="E3">
        <v>1.4903021583054907</v>
      </c>
      <c r="F3">
        <v>3.503905890426596E-3</v>
      </c>
      <c r="G3">
        <v>0.15541400731800092</v>
      </c>
      <c r="H3">
        <v>81.527625473174894</v>
      </c>
      <c r="I3">
        <v>84.210523911748339</v>
      </c>
      <c r="J3">
        <v>91.519000526107561</v>
      </c>
      <c r="K3">
        <v>96.539006600454584</v>
      </c>
      <c r="L3">
        <v>91.864607167203303</v>
      </c>
      <c r="M3">
        <v>107.89839905418086</v>
      </c>
      <c r="N3">
        <v>101.42922604334429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>
        <f t="shared" si="3"/>
        <v>0.41761511253747474</v>
      </c>
      <c r="S3">
        <f t="shared" si="3"/>
        <v>0.55002913166782996</v>
      </c>
      <c r="T3">
        <f t="shared" si="3"/>
        <v>1.9391858126191357</v>
      </c>
      <c r="U3">
        <f t="shared" si="3"/>
        <v>37.114681436389489</v>
      </c>
      <c r="V3">
        <f t="shared" si="3"/>
        <v>45.281028199391223</v>
      </c>
      <c r="W3">
        <f t="shared" si="3"/>
        <v>24.897121917652441</v>
      </c>
      <c r="X3">
        <f t="shared" si="3"/>
        <v>7.4794331185496112</v>
      </c>
      <c r="Y3">
        <f t="shared" si="3"/>
        <v>12.367992356808195</v>
      </c>
      <c r="Z3">
        <f t="shared" si="3"/>
        <v>1.037394307955793</v>
      </c>
      <c r="AA3">
        <f t="shared" si="3"/>
        <v>0.15983208367997878</v>
      </c>
      <c r="AB3">
        <f t="shared" si="3"/>
        <v>3.7403574938333617</v>
      </c>
    </row>
    <row r="5" spans="1:28">
      <c r="D5">
        <v>9.5848051380234486E-2</v>
      </c>
      <c r="E5">
        <v>5.7002544500374785E-2</v>
      </c>
      <c r="F5">
        <v>4.8212257791427833</v>
      </c>
      <c r="G5">
        <v>45.60564277481928</v>
      </c>
      <c r="H5">
        <v>86.531884082200563</v>
      </c>
      <c r="I5">
        <v>95.832573026485207</v>
      </c>
    </row>
    <row r="6" spans="1:28">
      <c r="D6">
        <v>0.18557804505043174</v>
      </c>
      <c r="E6">
        <v>9.828176412576951E-3</v>
      </c>
      <c r="F6">
        <v>3.3938509498936217E-2</v>
      </c>
      <c r="G6">
        <v>88.412144668002568</v>
      </c>
      <c r="H6">
        <v>91.916779036022291</v>
      </c>
      <c r="I6">
        <v>100.61439800348838</v>
      </c>
    </row>
    <row r="8" spans="1:28">
      <c r="D8">
        <v>0.82751355529061166</v>
      </c>
      <c r="E8">
        <v>0.62410746796527272</v>
      </c>
      <c r="F8">
        <v>0.10943319260128892</v>
      </c>
      <c r="G8">
        <v>9.1786990348186326E-2</v>
      </c>
      <c r="H8">
        <v>0.15774853070495151</v>
      </c>
      <c r="I8">
        <v>42.713404182148174</v>
      </c>
      <c r="J8">
        <v>75.738348135981468</v>
      </c>
      <c r="K8">
        <v>75.840566392792013</v>
      </c>
    </row>
    <row r="9" spans="1:28">
      <c r="D9">
        <v>0.89209989109258903</v>
      </c>
      <c r="E9">
        <v>0.34672643862943131</v>
      </c>
      <c r="F9">
        <v>0.19697922486447425</v>
      </c>
      <c r="G9">
        <v>3.9336909404658026E-2</v>
      </c>
      <c r="H9">
        <v>3.8370886474527043E-2</v>
      </c>
      <c r="I9">
        <v>46.48871210436851</v>
      </c>
      <c r="J9">
        <v>81.953060545871509</v>
      </c>
      <c r="K9">
        <v>78.139138376835305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EAC4-154A-4762-868E-C013097AD8E6}">
  <dimension ref="A1:AB9"/>
  <sheetViews>
    <sheetView workbookViewId="0">
      <selection activeCell="D8" sqref="D8:K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1.4610916200241658E-2</v>
      </c>
      <c r="F2">
        <v>-3.1535675147116631E-2</v>
      </c>
      <c r="G2">
        <v>-3.5320617673245736E-3</v>
      </c>
      <c r="H2">
        <v>1.1123520718746269E-2</v>
      </c>
      <c r="I2">
        <v>64.974119410592976</v>
      </c>
      <c r="J2">
        <v>88.321859685972285</v>
      </c>
      <c r="K2">
        <v>97.107370303676575</v>
      </c>
      <c r="L2">
        <v>90.327653456232525</v>
      </c>
      <c r="M2">
        <v>102.65503671325985</v>
      </c>
      <c r="N2">
        <v>98.553821148166023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>
        <f t="shared" si="2"/>
        <v>0.12311781540529704</v>
      </c>
      <c r="S2">
        <f t="shared" si="2"/>
        <v>3.4190000746630124E-2</v>
      </c>
      <c r="T2">
        <f t="shared" si="2"/>
        <v>5.2329293429882212E-2</v>
      </c>
      <c r="U2">
        <f t="shared" si="2"/>
        <v>2.3243116038617923E-2</v>
      </c>
      <c r="V2">
        <f t="shared" si="2"/>
        <v>12.554054196797621</v>
      </c>
      <c r="W2">
        <f t="shared" si="2"/>
        <v>54.754542177137409</v>
      </c>
      <c r="X2">
        <f t="shared" si="2"/>
        <v>70.026902752066221</v>
      </c>
      <c r="Y2">
        <f t="shared" si="2"/>
        <v>80.263008100511499</v>
      </c>
      <c r="Z2">
        <f t="shared" si="2"/>
        <v>90.851615516438059</v>
      </c>
      <c r="AA2">
        <f t="shared" si="2"/>
        <v>104.87651763064247</v>
      </c>
      <c r="AB2">
        <f t="shared" si="2"/>
        <v>99.937269757999161</v>
      </c>
    </row>
    <row r="3" spans="1:28">
      <c r="A3" s="1"/>
      <c r="E3">
        <v>-1.4610916200241658E-2</v>
      </c>
      <c r="F3">
        <v>-1.4016015161664334E-2</v>
      </c>
      <c r="G3">
        <v>-3.5320617673245736E-3</v>
      </c>
      <c r="H3">
        <v>7.4156344367675917E-3</v>
      </c>
      <c r="I3">
        <v>74.246041637287462</v>
      </c>
      <c r="J3">
        <v>85.267765726462301</v>
      </c>
      <c r="K3">
        <v>95.281829236252619</v>
      </c>
      <c r="L3">
        <v>91.375577576643593</v>
      </c>
      <c r="M3">
        <v>107.09799854802507</v>
      </c>
      <c r="N3">
        <v>101.32071836783228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>
        <f t="shared" si="3"/>
        <v>0.1633779951897931</v>
      </c>
      <c r="S3">
        <f t="shared" si="3"/>
        <v>6.9595984018215484E-2</v>
      </c>
      <c r="T3">
        <f t="shared" si="3"/>
        <v>7.4227386677737581E-2</v>
      </c>
      <c r="U3">
        <f t="shared" si="3"/>
        <v>3.678575137603117E-2</v>
      </c>
      <c r="V3">
        <f t="shared" si="3"/>
        <v>26.676341241884455</v>
      </c>
      <c r="W3">
        <f t="shared" si="3"/>
        <v>44.024997873072763</v>
      </c>
      <c r="X3">
        <f t="shared" si="3"/>
        <v>20.897733642424701</v>
      </c>
      <c r="Y3">
        <f t="shared" si="3"/>
        <v>18.472642224993393</v>
      </c>
      <c r="Z3">
        <f t="shared" si="3"/>
        <v>0.74099425171161426</v>
      </c>
      <c r="AA3">
        <f t="shared" si="3"/>
        <v>3.141648441915518</v>
      </c>
      <c r="AB3">
        <f t="shared" si="3"/>
        <v>1.9564917868722185</v>
      </c>
    </row>
    <row r="5" spans="1:28">
      <c r="D5">
        <v>-1.8353869248041936E-2</v>
      </c>
      <c r="E5">
        <v>-2.5552672877652387E-2</v>
      </c>
      <c r="F5">
        <v>0.10580743687264992</v>
      </c>
      <c r="G5">
        <v>1.3560077151547972E-2</v>
      </c>
      <c r="H5">
        <v>66.533053378870832</v>
      </c>
      <c r="I5">
        <v>89.918950080324848</v>
      </c>
    </row>
    <row r="6" spans="1:28">
      <c r="D6">
        <v>1.8353869248041936E-2</v>
      </c>
      <c r="E6">
        <v>-5.8966129500223272E-3</v>
      </c>
      <c r="F6">
        <v>6.9872824444889278E-2</v>
      </c>
      <c r="G6">
        <v>3.680534638998717E-2</v>
      </c>
      <c r="H6">
        <v>8.7812600751390537</v>
      </c>
      <c r="I6">
        <v>99.296670263476457</v>
      </c>
    </row>
    <row r="8" spans="1:28">
      <c r="D8">
        <v>0.14935582635355435</v>
      </c>
      <c r="E8">
        <v>0.15092767167332566</v>
      </c>
      <c r="F8">
        <v>0.16196068150473866</v>
      </c>
      <c r="G8">
        <v>9.1786990348186326E-2</v>
      </c>
      <c r="H8">
        <v>3.8370886474527043E-2</v>
      </c>
      <c r="I8">
        <v>5.4051639173248345E-2</v>
      </c>
      <c r="J8">
        <v>43.75029014480954</v>
      </c>
      <c r="K8">
        <v>66.173532026596476</v>
      </c>
    </row>
    <row r="9" spans="1:28">
      <c r="D9">
        <v>0.34311543526763383</v>
      </c>
      <c r="E9">
        <v>8.5661618634129799E-2</v>
      </c>
      <c r="F9">
        <v>2.1886508065796333E-2</v>
      </c>
      <c r="G9">
        <v>4.3704058766352192E-3</v>
      </c>
      <c r="H9">
        <v>-4.6898314854202268E-2</v>
      </c>
      <c r="I9">
        <v>3.7420031969469414E-2</v>
      </c>
      <c r="J9">
        <v>62.767695451020757</v>
      </c>
      <c r="K9">
        <v>62.489300835520353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C5078-2F6B-4B25-BE9F-C9F53C0ED43B}">
  <dimension ref="A1:AB9"/>
  <sheetViews>
    <sheetView workbookViewId="0">
      <selection activeCell="P31" sqref="P31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6.2096019648283846E-2</v>
      </c>
      <c r="F2">
        <v>1.4016015161664334E-2</v>
      </c>
      <c r="G2">
        <v>-3.5320617673245736E-3</v>
      </c>
      <c r="H2">
        <v>4.4048941761810072</v>
      </c>
      <c r="I2">
        <v>82.044491446569197</v>
      </c>
      <c r="J2">
        <v>94.387125867073195</v>
      </c>
      <c r="K2">
        <v>97.250399019720902</v>
      </c>
      <c r="L2">
        <v>96.300826772288048</v>
      </c>
      <c r="M2">
        <v>107.86133733995938</v>
      </c>
      <c r="N2">
        <v>101.20542795206141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>
        <f t="shared" si="2"/>
        <v>0.67443595798656064</v>
      </c>
      <c r="S2">
        <f t="shared" si="2"/>
        <v>0.10982837443945115</v>
      </c>
      <c r="T2">
        <f t="shared" si="2"/>
        <v>0.83143632886851437</v>
      </c>
      <c r="U2">
        <f t="shared" si="2"/>
        <v>0.92516077365304117</v>
      </c>
      <c r="V2">
        <f t="shared" si="2"/>
        <v>33.942304877603569</v>
      </c>
      <c r="W2">
        <f t="shared" si="2"/>
        <v>62.620052955237099</v>
      </c>
      <c r="X2">
        <f t="shared" si="2"/>
        <v>82.428223671879095</v>
      </c>
      <c r="Y2">
        <f t="shared" si="2"/>
        <v>86.45626375522275</v>
      </c>
      <c r="Z2">
        <f t="shared" si="2"/>
        <v>91.578176739612701</v>
      </c>
      <c r="AA2">
        <f t="shared" si="2"/>
        <v>107.35923725092664</v>
      </c>
      <c r="AB2">
        <f t="shared" si="2"/>
        <v>100.08476808460595</v>
      </c>
    </row>
    <row r="3" spans="1:28">
      <c r="A3" s="1"/>
      <c r="E3">
        <v>1.0958153131750043E-2</v>
      </c>
      <c r="F3">
        <v>-7.0079423141725088E-3</v>
      </c>
      <c r="G3">
        <v>-1.0596448466431294E-2</v>
      </c>
      <c r="H3">
        <v>26.63700516947776</v>
      </c>
      <c r="I3">
        <v>81.641672255084856</v>
      </c>
      <c r="J3">
        <v>89.373263211254937</v>
      </c>
      <c r="K3">
        <v>95.85019293947461</v>
      </c>
      <c r="L3">
        <v>86.855526706937354</v>
      </c>
      <c r="M3">
        <v>106.8571371618939</v>
      </c>
      <c r="N3">
        <v>98.964108217150496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>
        <f t="shared" si="3"/>
        <v>0.73465672831691231</v>
      </c>
      <c r="S3">
        <f t="shared" si="3"/>
        <v>0.13230968817781999</v>
      </c>
      <c r="T3">
        <f t="shared" si="3"/>
        <v>1.7645022533981323</v>
      </c>
      <c r="U3">
        <f t="shared" si="3"/>
        <v>2.0308995220481409</v>
      </c>
      <c r="V3">
        <f t="shared" si="3"/>
        <v>41.869196083773161</v>
      </c>
      <c r="W3">
        <f t="shared" si="3"/>
        <v>44.669966934324933</v>
      </c>
      <c r="X3">
        <f t="shared" si="3"/>
        <v>11.139595789806624</v>
      </c>
      <c r="Y3">
        <f t="shared" si="3"/>
        <v>12.012202565232824</v>
      </c>
      <c r="Z3">
        <f t="shared" si="3"/>
        <v>6.6788357265512159</v>
      </c>
      <c r="AA3">
        <f t="shared" si="3"/>
        <v>0.71007675557883543</v>
      </c>
      <c r="AB3">
        <f t="shared" si="3"/>
        <v>1.5848523833627444</v>
      </c>
    </row>
    <row r="5" spans="1:28">
      <c r="D5">
        <v>1.019676285006204E-2</v>
      </c>
      <c r="E5">
        <v>7.2727333862974072E-2</v>
      </c>
      <c r="F5">
        <v>0.16170575592492284</v>
      </c>
      <c r="G5">
        <v>5.0655716629424301</v>
      </c>
      <c r="H5">
        <v>91.158126583013456</v>
      </c>
      <c r="I5">
        <v>98.779279934969878</v>
      </c>
    </row>
    <row r="6" spans="1:28">
      <c r="D6">
        <v>0.11216256805826401</v>
      </c>
      <c r="E6">
        <v>-3.3415214007713946E-2</v>
      </c>
      <c r="F6">
        <v>4.4259450424374158</v>
      </c>
      <c r="G6">
        <v>0.24601450145715481</v>
      </c>
      <c r="H6">
        <v>81.479384986779678</v>
      </c>
      <c r="I6">
        <v>101.17221622753922</v>
      </c>
    </row>
    <row r="8" spans="1:28">
      <c r="D8">
        <v>1.0535663321056798</v>
      </c>
      <c r="E8">
        <v>0.28146038559023545</v>
      </c>
      <c r="F8">
        <v>0.30203550721598826</v>
      </c>
      <c r="G8">
        <v>0.17920357481973745</v>
      </c>
      <c r="H8">
        <v>-2.9844728711857546E-2</v>
      </c>
      <c r="I8">
        <v>1.4677140884531465</v>
      </c>
      <c r="J8">
        <v>74.058694630078563</v>
      </c>
      <c r="K8">
        <v>72.873621730074888</v>
      </c>
    </row>
    <row r="9" spans="1:28">
      <c r="D9">
        <v>1.521818168932237</v>
      </c>
      <c r="E9">
        <v>0.26514356841117742</v>
      </c>
      <c r="F9">
        <v>9.1923594785267501E-2</v>
      </c>
      <c r="G9">
        <v>7.4303412932680821E-2</v>
      </c>
      <c r="H9">
        <v>4.2630788813347474E-3</v>
      </c>
      <c r="I9">
        <v>10.614943778806266</v>
      </c>
      <c r="J9">
        <v>71.893810979109659</v>
      </c>
      <c r="K9">
        <v>79.850841331620586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B71A-C062-4362-8282-5F458A39C886}">
  <dimension ref="A1:AB9"/>
  <sheetViews>
    <sheetView workbookViewId="0">
      <selection activeCell="Q28" sqref="Q28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5.3559042152077074</v>
      </c>
      <c r="F2">
        <v>2.7358278582153015</v>
      </c>
      <c r="G2">
        <v>1.6477993282086478</v>
      </c>
      <c r="H2">
        <v>0.73758253040622634</v>
      </c>
      <c r="I2">
        <v>0.18710201854283251</v>
      </c>
      <c r="J2">
        <v>51.644661622553237</v>
      </c>
      <c r="K2">
        <v>70.99890175976158</v>
      </c>
      <c r="L2">
        <v>67.037535812269979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2.6179957650046566</v>
      </c>
      <c r="T2">
        <f t="shared" si="2"/>
        <v>0.17669347457436635</v>
      </c>
      <c r="U2">
        <f t="shared" si="2"/>
        <v>-1.087941998420932</v>
      </c>
      <c r="V2">
        <f t="shared" si="2"/>
        <v>-1.6895784113655778</v>
      </c>
      <c r="W2">
        <f t="shared" si="2"/>
        <v>1.178927055133802</v>
      </c>
      <c r="X2">
        <f t="shared" si="2"/>
        <v>34.255693914448081</v>
      </c>
      <c r="Y2">
        <f t="shared" si="2"/>
        <v>90.062788075994547</v>
      </c>
      <c r="Z2">
        <f t="shared" si="2"/>
        <v>96.101767663266699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5.8454002208401947</v>
      </c>
      <c r="F3">
        <v>2.9809583140057572</v>
      </c>
      <c r="G3">
        <v>1.8401154232642676</v>
      </c>
      <c r="H3">
        <v>0.77169033799941866</v>
      </c>
      <c r="I3">
        <v>19.363021711485469</v>
      </c>
      <c r="J3">
        <v>60.472167138969859</v>
      </c>
      <c r="K3">
        <v>71.944409194850905</v>
      </c>
      <c r="L3">
        <v>96.054938669070111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2.3712884613229797</v>
      </c>
      <c r="T3">
        <f t="shared" si="3"/>
        <v>2.0818056362286956</v>
      </c>
      <c r="U3">
        <f t="shared" si="3"/>
        <v>2.2091441751807048</v>
      </c>
      <c r="V3">
        <f t="shared" si="3"/>
        <v>1.904119439314369</v>
      </c>
      <c r="W3">
        <f t="shared" si="3"/>
        <v>9.0099334631728265</v>
      </c>
      <c r="X3">
        <f t="shared" si="3"/>
        <v>39.899162972850803</v>
      </c>
      <c r="Y3">
        <f t="shared" si="3"/>
        <v>23.706961076982779</v>
      </c>
      <c r="Z3">
        <f t="shared" si="3"/>
        <v>22.353628149351184</v>
      </c>
      <c r="AA3" t="e">
        <f t="shared" si="3"/>
        <v>#DIV/0!</v>
      </c>
      <c r="AB3" t="e">
        <f t="shared" si="3"/>
        <v>#DIV/0!</v>
      </c>
    </row>
    <row r="5" spans="1:28">
      <c r="E5">
        <v>1.8278751207947519</v>
      </c>
      <c r="F5">
        <v>-1.1667721727784568</v>
      </c>
      <c r="G5">
        <v>-2.1773856239362064</v>
      </c>
      <c r="H5">
        <v>-2.6615507050516958</v>
      </c>
      <c r="I5">
        <v>-2.8293372359456148</v>
      </c>
      <c r="J5">
        <v>-2.8786667666656731</v>
      </c>
      <c r="K5">
        <v>84.981220057492934</v>
      </c>
      <c r="L5">
        <v>90.392273935138263</v>
      </c>
    </row>
    <row r="6" spans="1:28">
      <c r="E6">
        <v>0.43316811947833223</v>
      </c>
      <c r="F6">
        <v>-1.2428661765191245</v>
      </c>
      <c r="G6">
        <v>-2.2756872926453466</v>
      </c>
      <c r="H6">
        <v>-2.7101192486151611</v>
      </c>
      <c r="I6">
        <v>-2.8195807355293332</v>
      </c>
      <c r="J6">
        <v>7.2091404783861108</v>
      </c>
      <c r="K6">
        <v>73.767695504098455</v>
      </c>
      <c r="L6">
        <v>79.337802652702806</v>
      </c>
    </row>
    <row r="8" spans="1:28">
      <c r="E8">
        <v>0.71424284576047126</v>
      </c>
      <c r="F8">
        <v>-0.95693774722493741</v>
      </c>
      <c r="G8">
        <v>-2.8574036593913243</v>
      </c>
      <c r="H8">
        <v>-3.1375366914661269</v>
      </c>
      <c r="I8">
        <v>-3.4792433847362236</v>
      </c>
      <c r="J8">
        <v>-3.6638537926243369</v>
      </c>
      <c r="K8">
        <v>126.84112863946018</v>
      </c>
      <c r="L8">
        <v>119.70524705313214</v>
      </c>
    </row>
    <row r="9" spans="1:28">
      <c r="E9">
        <v>1.5313840679464812</v>
      </c>
      <c r="F9">
        <v>-1.2900492282523415</v>
      </c>
      <c r="G9">
        <v>-2.7050901660256299</v>
      </c>
      <c r="H9">
        <v>-3.1375366914661269</v>
      </c>
      <c r="I9">
        <v>-3.3484000430143182</v>
      </c>
      <c r="J9">
        <v>92.750714806069325</v>
      </c>
      <c r="K9">
        <v>111.8433733003032</v>
      </c>
      <c r="L9">
        <v>124.08280785728697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6D4C1-2B3F-4C1F-83A1-4E838713309C}">
  <dimension ref="A1:AB9"/>
  <sheetViews>
    <sheetView workbookViewId="0">
      <selection activeCell="N20" sqref="N20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6.7179501554078129</v>
      </c>
      <c r="F2">
        <v>6.7179501554078129</v>
      </c>
      <c r="G2">
        <v>6.7179501554078129</v>
      </c>
      <c r="H2">
        <v>3.5173736140651695</v>
      </c>
      <c r="I2">
        <v>3.0144281562329525</v>
      </c>
      <c r="J2">
        <v>38.692669282346657</v>
      </c>
      <c r="K2">
        <v>44.52459641029678</v>
      </c>
      <c r="L2">
        <v>94.946409360104582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7.1139254680141555</v>
      </c>
      <c r="T2">
        <f t="shared" si="2"/>
        <v>4.6798637002585135</v>
      </c>
      <c r="U2">
        <f t="shared" si="2"/>
        <v>1.8377905641542898</v>
      </c>
      <c r="V2">
        <f t="shared" si="2"/>
        <v>-0.51418613029981708</v>
      </c>
      <c r="W2">
        <f t="shared" si="2"/>
        <v>9.8500121368969946</v>
      </c>
      <c r="X2">
        <f t="shared" si="2"/>
        <v>55.216747009346875</v>
      </c>
      <c r="Y2">
        <f t="shared" si="2"/>
        <v>83.828909094637098</v>
      </c>
      <c r="Z2">
        <f t="shared" si="2"/>
        <v>91.822848806604995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6.1235189441284374</v>
      </c>
      <c r="F3">
        <v>6.1235189441284374</v>
      </c>
      <c r="G3">
        <v>6.1235189441284374</v>
      </c>
      <c r="H3">
        <v>1.8631420869070807</v>
      </c>
      <c r="I3">
        <v>2.5653821965128634</v>
      </c>
      <c r="J3">
        <v>47.762798214222393</v>
      </c>
      <c r="K3">
        <v>56.799937033378143</v>
      </c>
      <c r="L3">
        <v>68.895951166021561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1.9250927481117253</v>
      </c>
      <c r="T3">
        <f t="shared" si="3"/>
        <v>1.8853391270189941</v>
      </c>
      <c r="U3">
        <f t="shared" si="3"/>
        <v>3.5761356547820675</v>
      </c>
      <c r="V3">
        <f t="shared" si="3"/>
        <v>2.5648422630889316</v>
      </c>
      <c r="W3">
        <f t="shared" si="3"/>
        <v>25.463908467075637</v>
      </c>
      <c r="X3">
        <f t="shared" si="3"/>
        <v>22.308093514909928</v>
      </c>
      <c r="Y3">
        <f t="shared" si="3"/>
        <v>26.356410082618225</v>
      </c>
      <c r="Z3">
        <f t="shared" si="3"/>
        <v>12.232988729554169</v>
      </c>
      <c r="AA3" t="e">
        <f t="shared" si="3"/>
        <v>#DIV/0!</v>
      </c>
      <c r="AB3" t="e">
        <f t="shared" si="3"/>
        <v>#DIV/0!</v>
      </c>
    </row>
    <row r="5" spans="1:28">
      <c r="E5">
        <v>5.9786749204451324</v>
      </c>
      <c r="F5">
        <v>2.2117944876170919</v>
      </c>
      <c r="G5">
        <v>-0.79624488980481722</v>
      </c>
      <c r="H5">
        <v>-2.2098641183829462</v>
      </c>
      <c r="I5">
        <v>-2.6488448858588902</v>
      </c>
      <c r="J5">
        <v>50.114747038299114</v>
      </c>
      <c r="K5">
        <v>102.48693759635596</v>
      </c>
      <c r="L5">
        <v>100.86902173219251</v>
      </c>
    </row>
    <row r="6" spans="1:28">
      <c r="E6">
        <v>5.1599395152793095</v>
      </c>
      <c r="F6">
        <v>2.6328474458349849</v>
      </c>
      <c r="G6">
        <v>-0.12287690278498797</v>
      </c>
      <c r="H6">
        <v>-1.4716239207886057</v>
      </c>
      <c r="I6">
        <v>-2.3951802364572958</v>
      </c>
      <c r="J6">
        <v>55.767315793159838</v>
      </c>
      <c r="K6">
        <v>92.507681071761127</v>
      </c>
      <c r="L6">
        <v>93.363431556271166</v>
      </c>
    </row>
    <row r="8" spans="1:28">
      <c r="E8">
        <v>8.2864238235880023</v>
      </c>
      <c r="F8">
        <v>4.596935550181354</v>
      </c>
      <c r="G8">
        <v>-0.96262214961682224</v>
      </c>
      <c r="H8">
        <v>-2.6585233812075701</v>
      </c>
      <c r="I8">
        <v>61.537999741680125</v>
      </c>
      <c r="J8">
        <v>98.861317385860957</v>
      </c>
      <c r="K8">
        <v>100.67183272043341</v>
      </c>
      <c r="L8">
        <v>102.99435039078571</v>
      </c>
    </row>
    <row r="9" spans="1:28">
      <c r="E9">
        <v>10.417045449236232</v>
      </c>
      <c r="F9">
        <v>5.796135618381399</v>
      </c>
      <c r="G9">
        <v>6.7018227596116101E-2</v>
      </c>
      <c r="H9">
        <v>-2.12562106239203</v>
      </c>
      <c r="I9">
        <v>-2.9737121507277862</v>
      </c>
      <c r="J9">
        <v>40.101634342192284</v>
      </c>
      <c r="K9">
        <v>105.98246973559721</v>
      </c>
      <c r="L9">
        <v>89.867928634254469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7DDA0-D995-4E9B-8D6C-0881A2485B5A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F2">
        <v>3.9787927331522579</v>
      </c>
      <c r="G2">
        <v>7.153158297044687</v>
      </c>
      <c r="H2">
        <v>5.6332291671863901</v>
      </c>
      <c r="I2">
        <v>6.7541213643407163</v>
      </c>
      <c r="J2">
        <v>6.5254588804314322</v>
      </c>
      <c r="K2">
        <v>87.211747802797689</v>
      </c>
      <c r="L2">
        <v>85.718712517392916</v>
      </c>
      <c r="M2">
        <v>100.94939132560043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0.21827577048899727</v>
      </c>
      <c r="T2">
        <f t="shared" si="2"/>
        <v>0.12850319485437048</v>
      </c>
      <c r="U2">
        <f t="shared" si="2"/>
        <v>1.6134914936149658</v>
      </c>
      <c r="V2">
        <f t="shared" si="2"/>
        <v>0.56947668406939533</v>
      </c>
      <c r="W2">
        <f t="shared" si="2"/>
        <v>3.6654653973162925</v>
      </c>
      <c r="X2">
        <f t="shared" si="2"/>
        <v>23.17395378625061</v>
      </c>
      <c r="Y2">
        <f t="shared" si="2"/>
        <v>82.757039193092041</v>
      </c>
      <c r="Z2">
        <f t="shared" si="2"/>
        <v>90.700588051685827</v>
      </c>
      <c r="AA2">
        <f t="shared" si="2"/>
        <v>98.389442147205685</v>
      </c>
      <c r="AB2" t="e">
        <f t="shared" si="2"/>
        <v>#DIV/0!</v>
      </c>
    </row>
    <row r="3" spans="1:28">
      <c r="A3" s="1"/>
      <c r="F3">
        <v>-3.3877087929246779</v>
      </c>
      <c r="G3">
        <v>3.6649430248456314</v>
      </c>
      <c r="H3">
        <v>-1.1638596411845825</v>
      </c>
      <c r="I3">
        <v>6.0815855115651987</v>
      </c>
      <c r="J3">
        <v>4.8351539655711431</v>
      </c>
      <c r="K3">
        <v>45.510080705214847</v>
      </c>
      <c r="L3">
        <v>76.531886424518007</v>
      </c>
      <c r="M3">
        <v>95.358389956024979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4.5731585190897858E-2</v>
      </c>
      <c r="T3">
        <f t="shared" si="3"/>
        <v>2.3427138031835151</v>
      </c>
      <c r="U3">
        <f t="shared" si="3"/>
        <v>3.1410558565504116</v>
      </c>
      <c r="V3">
        <f t="shared" si="3"/>
        <v>2.5084419772707749</v>
      </c>
      <c r="W3">
        <f t="shared" si="3"/>
        <v>4.7926446858951897</v>
      </c>
      <c r="X3">
        <f t="shared" si="3"/>
        <v>32.222182244728437</v>
      </c>
      <c r="Y3">
        <f t="shared" si="3"/>
        <v>23.443475099696425</v>
      </c>
      <c r="Z3">
        <f t="shared" si="3"/>
        <v>16.461607887635946</v>
      </c>
      <c r="AA3">
        <f t="shared" si="3"/>
        <v>2.3135943048211796</v>
      </c>
      <c r="AB3" t="e">
        <f t="shared" si="3"/>
        <v>#DIV/0!</v>
      </c>
    </row>
    <row r="5" spans="1:28">
      <c r="F5">
        <v>0.32799700823863159</v>
      </c>
      <c r="G5">
        <v>-0.15974493980007612</v>
      </c>
      <c r="H5">
        <v>-0.17108768408393887</v>
      </c>
      <c r="I5">
        <v>-0.54162033551496735</v>
      </c>
      <c r="J5">
        <v>-0.53783932685290337</v>
      </c>
      <c r="K5">
        <v>75.024337602302708</v>
      </c>
      <c r="L5">
        <v>78.207898442959959</v>
      </c>
      <c r="M5">
        <v>98.303614114774462</v>
      </c>
    </row>
    <row r="6" spans="1:28">
      <c r="F6">
        <v>0.2296924732389431</v>
      </c>
      <c r="G6">
        <v>-0.3979445416774986</v>
      </c>
      <c r="H6">
        <v>-0.1521832041782773</v>
      </c>
      <c r="I6">
        <v>-0.56808711444708604</v>
      </c>
      <c r="J6">
        <v>-0.67773439373063726</v>
      </c>
      <c r="K6">
        <v>75.56879383516538</v>
      </c>
      <c r="L6">
        <v>80.650388346708581</v>
      </c>
      <c r="M6">
        <v>98.946373192422854</v>
      </c>
    </row>
    <row r="8" spans="1:28">
      <c r="E8">
        <v>0.18593865648610317</v>
      </c>
      <c r="F8">
        <v>-0.21685889060383992</v>
      </c>
      <c r="G8">
        <v>-0.28523957116234872</v>
      </c>
      <c r="H8">
        <v>-0.34156854081651694</v>
      </c>
      <c r="I8">
        <v>-0.32268282684431765</v>
      </c>
      <c r="J8">
        <v>68.887455650994085</v>
      </c>
      <c r="K8">
        <v>99.865965511035128</v>
      </c>
      <c r="L8">
        <v>110.30130755242358</v>
      </c>
    </row>
    <row r="9" spans="1:28">
      <c r="E9">
        <v>0.2506128844918914</v>
      </c>
      <c r="F9">
        <v>-0.1608953619750921</v>
      </c>
      <c r="G9">
        <v>-0.29422330756060017</v>
      </c>
      <c r="H9">
        <v>-0.38766999250670303</v>
      </c>
      <c r="I9">
        <v>10.589475784798211</v>
      </c>
      <c r="J9">
        <v>60.011227941090539</v>
      </c>
      <c r="K9">
        <v>113.36130970203646</v>
      </c>
      <c r="L9">
        <v>112.79333502611189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D1F15-4E27-491E-A9F1-FA3851152383}">
  <dimension ref="A1:AB10"/>
  <sheetViews>
    <sheetView workbookViewId="0">
      <selection activeCell="H16" sqref="H16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F2">
        <v>17.973666393026971</v>
      </c>
      <c r="G2">
        <v>59.454410985731279</v>
      </c>
      <c r="H2">
        <v>67.054108813408462</v>
      </c>
      <c r="I2">
        <v>67.4775727690851</v>
      </c>
      <c r="J2">
        <v>76.33254518999982</v>
      </c>
      <c r="K2">
        <v>87.7925925773459</v>
      </c>
      <c r="L2">
        <v>96.999192606381328</v>
      </c>
      <c r="M2">
        <v>103.6801171606748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>AVERAGE(E2:E30)</f>
        <v>50.310928661705205</v>
      </c>
      <c r="T2">
        <f>AVERAGE(F2:F30)</f>
        <v>51.877336444677105</v>
      </c>
      <c r="U2">
        <f>AVERAGE(G2:G30)</f>
        <v>64.619327691313245</v>
      </c>
      <c r="V2">
        <f>AVERAGE(H2:H30)</f>
        <v>73.48182138538138</v>
      </c>
      <c r="W2">
        <f>AVERAGE(I2:I30)</f>
        <v>81.863254879116667</v>
      </c>
      <c r="X2">
        <f>AVERAGE(J2:J30)</f>
        <v>86.445014446357362</v>
      </c>
      <c r="Y2">
        <f>AVERAGE(K2:K30)</f>
        <v>92.749774669334315</v>
      </c>
      <c r="Z2">
        <f>AVERAGE(L2:L30)</f>
        <v>97.932287069076537</v>
      </c>
      <c r="AA2">
        <f>AVERAGE(M2:M30)</f>
        <v>101.5646814074691</v>
      </c>
      <c r="AB2" t="e">
        <f t="shared" si="2"/>
        <v>#DIV/0!</v>
      </c>
    </row>
    <row r="3" spans="1:28">
      <c r="A3" s="1"/>
      <c r="F3">
        <v>30.533964201442664</v>
      </c>
      <c r="G3">
        <v>52.584434871525296</v>
      </c>
      <c r="H3">
        <v>65.001053223973244</v>
      </c>
      <c r="I3">
        <v>76.086783570798275</v>
      </c>
      <c r="J3">
        <v>76.514033605778891</v>
      </c>
      <c r="K3">
        <v>78.332667784975456</v>
      </c>
      <c r="L3">
        <v>97.229827937315989</v>
      </c>
      <c r="M3">
        <v>99.449245654263379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>_xlfn.STDEV.S(E2:E30)</f>
        <v>14.791901179873854</v>
      </c>
      <c r="T3">
        <f>_xlfn.STDEV.S(F2:F30)</f>
        <v>23.29309525582498</v>
      </c>
      <c r="U3">
        <f>_xlfn.STDEV.S(G2:G30)</f>
        <v>7.1311619256493577</v>
      </c>
      <c r="V3">
        <f>_xlfn.STDEV.S(H2:H30)</f>
        <v>7.8057254032223211</v>
      </c>
      <c r="W3">
        <f>_xlfn.STDEV.S(I2:I30)</f>
        <v>9.6130699019592409</v>
      </c>
      <c r="X3">
        <f>_xlfn.STDEV.S(J2:J30)</f>
        <v>13.828517042826142</v>
      </c>
      <c r="Y3">
        <f>_xlfn.STDEV.S(K2:K30)</f>
        <v>14.181091382247189</v>
      </c>
      <c r="Z3">
        <f>_xlfn.STDEV.S(L2:L30)</f>
        <v>6.8440056018985098</v>
      </c>
      <c r="AA3">
        <f>_xlfn.STDEV.S(M2:M30)</f>
        <v>2.9916779325124572</v>
      </c>
      <c r="AB3" t="e">
        <f t="shared" si="3"/>
        <v>#DIV/0!</v>
      </c>
    </row>
    <row r="5" spans="1:28">
      <c r="E5">
        <v>55.660350587151882</v>
      </c>
      <c r="F5">
        <v>34.746413734213867</v>
      </c>
      <c r="G5">
        <v>62.081126262213203</v>
      </c>
      <c r="H5">
        <v>77.800128842378712</v>
      </c>
      <c r="I5">
        <v>84.224402953912787</v>
      </c>
      <c r="J5">
        <v>105.67289124739654</v>
      </c>
      <c r="K5">
        <v>115.29926212831214</v>
      </c>
      <c r="L5">
        <v>107.13478629280529</v>
      </c>
    </row>
    <row r="6" spans="1:28">
      <c r="E6">
        <v>71.263034495535706</v>
      </c>
      <c r="F6">
        <v>74.681125487329396</v>
      </c>
      <c r="G6">
        <v>65.665710379392294</v>
      </c>
      <c r="H6">
        <v>66.082016637122109</v>
      </c>
      <c r="I6">
        <v>97.625232196413918</v>
      </c>
      <c r="J6">
        <v>107.26520977897678</v>
      </c>
      <c r="K6">
        <v>110.44779615866656</v>
      </c>
      <c r="L6">
        <v>105.46670357240504</v>
      </c>
    </row>
    <row r="8" spans="1:28">
      <c r="E8">
        <v>36.967391858208352</v>
      </c>
      <c r="F8">
        <v>65.874304957116834</v>
      </c>
      <c r="G8">
        <v>73.37923848247344</v>
      </c>
      <c r="H8">
        <v>77.260223867286342</v>
      </c>
      <c r="I8">
        <v>76.601754248319196</v>
      </c>
      <c r="J8">
        <v>81.771920795366242</v>
      </c>
      <c r="K8">
        <v>84.842799612487454</v>
      </c>
      <c r="L8">
        <v>89.072489438049899</v>
      </c>
    </row>
    <row r="9" spans="1:28">
      <c r="E9">
        <v>35.299947218612907</v>
      </c>
      <c r="F9">
        <v>71.684114811162573</v>
      </c>
      <c r="G9">
        <v>69.504916876711533</v>
      </c>
      <c r="H9">
        <v>74.945290383260556</v>
      </c>
      <c r="I9">
        <v>83.809992030462567</v>
      </c>
      <c r="J9">
        <v>77.378639467238273</v>
      </c>
      <c r="K9">
        <v>84.547330529649528</v>
      </c>
      <c r="L9">
        <v>90.325395135053498</v>
      </c>
    </row>
    <row r="10" spans="1:28">
      <c r="E10">
        <v>52.363919149017157</v>
      </c>
      <c r="F10">
        <v>67.647765528447451</v>
      </c>
      <c r="G10">
        <v>69.665455981145655</v>
      </c>
      <c r="H10">
        <v>86.229927930240137</v>
      </c>
      <c r="I10">
        <v>87.217046384824854</v>
      </c>
      <c r="J10">
        <v>80.179861039744935</v>
      </c>
      <c r="K10">
        <v>87.985973893903221</v>
      </c>
      <c r="L10">
        <v>99.297614501524791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337A-1712-4CE7-A14A-5539841FAB4A}">
  <dimension ref="A1:AB9"/>
  <sheetViews>
    <sheetView tabSelected="1" workbookViewId="0">
      <selection activeCell="I12" sqref="I12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F2">
        <v>0.32799700823863159</v>
      </c>
      <c r="G2">
        <v>-0.20133547167812157</v>
      </c>
      <c r="H2">
        <v>2.0445456437734455</v>
      </c>
      <c r="I2">
        <v>-0.65126789650084782</v>
      </c>
      <c r="J2">
        <v>-0.65504862346058268</v>
      </c>
      <c r="K2">
        <v>90.299355684516996</v>
      </c>
      <c r="L2">
        <v>101.38508603134201</v>
      </c>
      <c r="M2">
        <v>100.60243132341122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 t="e">
        <f t="shared" si="2"/>
        <v>#DIV/0!</v>
      </c>
      <c r="T2">
        <f>AVERAGE(F2:F30)</f>
        <v>0.46222042127210505</v>
      </c>
      <c r="U2">
        <f t="shared" si="2"/>
        <v>-6.0810236690043672E-2</v>
      </c>
      <c r="V2">
        <f t="shared" si="2"/>
        <v>1.1369815094870759</v>
      </c>
      <c r="W2">
        <f t="shared" si="2"/>
        <v>17.895059992753421</v>
      </c>
      <c r="X2">
        <f t="shared" si="2"/>
        <v>35.699262812583122</v>
      </c>
      <c r="Y2">
        <f t="shared" si="2"/>
        <v>87.147490919079814</v>
      </c>
      <c r="Z2">
        <f t="shared" si="2"/>
        <v>94.268586199079024</v>
      </c>
      <c r="AA2">
        <f t="shared" si="2"/>
        <v>99.141509245189653</v>
      </c>
      <c r="AB2">
        <f t="shared" si="2"/>
        <v>100</v>
      </c>
    </row>
    <row r="3" spans="1:28">
      <c r="A3" s="1"/>
      <c r="F3">
        <v>0.59644383430557846</v>
      </c>
      <c r="G3">
        <v>-0.16352594846214011</v>
      </c>
      <c r="H3">
        <v>0.5472915668057341</v>
      </c>
      <c r="I3">
        <v>-0.72310565256841763</v>
      </c>
      <c r="J3">
        <v>-0.64748688783878383</v>
      </c>
      <c r="K3">
        <v>95.891376787559622</v>
      </c>
      <c r="L3">
        <v>98.821603850407342</v>
      </c>
      <c r="M3">
        <v>99.018218554453313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 t="e">
        <f t="shared" si="3"/>
        <v>#DIV/0!</v>
      </c>
      <c r="T3">
        <f t="shared" si="3"/>
        <v>0.18982057109994374</v>
      </c>
      <c r="U3">
        <f t="shared" si="3"/>
        <v>2.2472601661131208</v>
      </c>
      <c r="V3">
        <f t="shared" si="3"/>
        <v>2.1058596739439666</v>
      </c>
      <c r="W3">
        <f t="shared" si="3"/>
        <v>15.307208730196798</v>
      </c>
      <c r="X3">
        <f t="shared" si="3"/>
        <v>29.957668239913573</v>
      </c>
      <c r="Y3">
        <f t="shared" si="3"/>
        <v>9.5432634399900831</v>
      </c>
      <c r="Z3">
        <f t="shared" si="3"/>
        <v>9.4429446387453559</v>
      </c>
      <c r="AA3">
        <f t="shared" si="3"/>
        <v>2.2662700448502577</v>
      </c>
      <c r="AB3">
        <f t="shared" si="3"/>
        <v>4.519086775761604</v>
      </c>
    </row>
    <row r="5" spans="1:28">
      <c r="G5">
        <v>-1.9082138329525304</v>
      </c>
      <c r="H5">
        <v>-0.65454937421711068</v>
      </c>
      <c r="I5">
        <v>23.762059340201695</v>
      </c>
      <c r="J5">
        <v>46.174511505109095</v>
      </c>
      <c r="K5">
        <v>89.15729585219826</v>
      </c>
      <c r="L5">
        <v>98.947816778965091</v>
      </c>
      <c r="M5">
        <v>100.14604774226434</v>
      </c>
      <c r="N5">
        <v>103.68530237115013</v>
      </c>
    </row>
    <row r="6" spans="1:28">
      <c r="G6">
        <v>-1.0170035021843267</v>
      </c>
      <c r="H6">
        <v>4.9869411666498582</v>
      </c>
      <c r="I6">
        <v>19.745215225082859</v>
      </c>
      <c r="J6">
        <v>45.479454180589499</v>
      </c>
      <c r="K6">
        <v>95.080222873049664</v>
      </c>
      <c r="L6">
        <v>94.231650466688748</v>
      </c>
      <c r="M6">
        <v>94.679385844456434</v>
      </c>
      <c r="N6">
        <v>93.408667296155272</v>
      </c>
    </row>
    <row r="8" spans="1:28">
      <c r="G8">
        <v>4.3132031220389511</v>
      </c>
      <c r="H8">
        <v>-0.32194458913946034</v>
      </c>
      <c r="I8">
        <v>30.435476863303823</v>
      </c>
      <c r="J8">
        <v>50.434412694341937</v>
      </c>
      <c r="K8">
        <v>70.591120854938012</v>
      </c>
      <c r="L8">
        <v>75.635626444243982</v>
      </c>
      <c r="M8">
        <v>100.62790210113531</v>
      </c>
      <c r="N8">
        <v>101.54469213657936</v>
      </c>
    </row>
    <row r="9" spans="1:28">
      <c r="G9">
        <v>-1.3879857869020946</v>
      </c>
      <c r="H9">
        <v>0.21960464304998897</v>
      </c>
      <c r="I9">
        <v>34.801982077001412</v>
      </c>
      <c r="J9">
        <v>73.409734006757589</v>
      </c>
      <c r="K9">
        <v>81.865573462216332</v>
      </c>
      <c r="L9">
        <v>96.589733622826927</v>
      </c>
      <c r="M9">
        <v>99.775069905417325</v>
      </c>
      <c r="N9">
        <v>101.36133819611524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</vt:lpstr>
      <vt:lpstr>12</vt:lpstr>
      <vt:lpstr>13</vt:lpstr>
      <vt:lpstr>14</vt:lpstr>
      <vt:lpstr>26</vt:lpstr>
      <vt:lpstr>29</vt:lpstr>
      <vt:lpstr>29g1PK6</vt:lpstr>
      <vt:lpstr>32</vt:lpstr>
      <vt:lpstr>35</vt:lpstr>
      <vt:lpstr>38</vt:lpstr>
      <vt:lpstr>52</vt:lpstr>
      <vt:lpstr>53</vt:lpstr>
      <vt:lpstr>54</vt:lpstr>
      <vt:lpstr>55</vt:lpstr>
      <vt:lpstr>56</vt:lpstr>
      <vt:lpstr>57</vt:lpstr>
      <vt:lpstr>58</vt:lpstr>
      <vt:lpstr>59</vt:lpstr>
      <vt:lpstr>61</vt:lpstr>
      <vt:lpstr>228</vt:lpstr>
      <vt:lpstr>231</vt:lpstr>
      <vt:lpstr>239</vt:lpstr>
      <vt:lpstr>241</vt:lpstr>
      <vt:lpstr>43</vt:lpstr>
      <vt:lpstr>62</vt:lpstr>
      <vt:lpstr>24</vt:lpstr>
      <vt:lpstr>49</vt:lpstr>
      <vt:lpstr>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Chang</dc:creator>
  <cp:lastModifiedBy>Douglas Chang</cp:lastModifiedBy>
  <dcterms:created xsi:type="dcterms:W3CDTF">2022-11-05T00:12:44Z</dcterms:created>
  <dcterms:modified xsi:type="dcterms:W3CDTF">2023-05-19T02:40:59Z</dcterms:modified>
</cp:coreProperties>
</file>